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exandra.falcon\Downloads\"/>
    </mc:Choice>
  </mc:AlternateContent>
  <xr:revisionPtr revIDLastSave="0" documentId="13_ncr:1_{E49F3BDF-B468-44F9-9C51-B066ED6EAEC7}" xr6:coauthVersionLast="47" xr6:coauthVersionMax="47" xr10:uidLastSave="{00000000-0000-0000-0000-000000000000}"/>
  <bookViews>
    <workbookView xWindow="20370" yWindow="-120" windowWidth="29040" windowHeight="15840" tabRatio="657" firstSheet="6" activeTab="6" xr2:uid="{00000000-000D-0000-FFFF-FFFF00000000}"/>
  </bookViews>
  <sheets>
    <sheet name="Listas" sheetId="50" state="hidden" r:id="rId1"/>
    <sheet name="Recursos aprobados" sheetId="52" state="hidden" r:id="rId2"/>
    <sheet name="FORM RESUMEN " sheetId="44" r:id="rId3"/>
    <sheet name="FORM 1 GASTO AO&amp;M-C SPEE" sheetId="43" r:id="rId4"/>
    <sheet name="FORM 2 GASTO AO&amp;M-C SPEE" sheetId="10" r:id="rId5"/>
    <sheet name="FORM 3 ANUALIDAD ACTIVO SPEE" sheetId="7" r:id="rId6"/>
    <sheet name="FORM 4 EXPANSION SPEE" sheetId="16" r:id="rId7"/>
    <sheet name="FORM 5 GASTO AO&amp;M SAPG" sheetId="47" r:id="rId8"/>
    <sheet name="FORM 6 GASTO AO&amp;M SAPG" sheetId="49" r:id="rId9"/>
    <sheet name="FORM 7 ANUALIDAD ACTIVO SAPG" sheetId="33" r:id="rId10"/>
    <sheet name="FORM 8 EXPANSION SAPG" sheetId="34" r:id="rId11"/>
    <sheet name="FORM 9 OTROS RECURSOS" sheetId="51" r:id="rId12"/>
    <sheet name="FORM INGRESOS" sheetId="45" r:id="rId13"/>
    <sheet name="FORM EGRESOS" sheetId="46" r:id="rId14"/>
    <sheet name="FLUJO DE CAJA" sheetId="48" r:id="rId15"/>
  </sheets>
  <definedNames>
    <definedName name="_xlnm._FilterDatabase" localSheetId="4" hidden="1">'FORM 2 GASTO AO&amp;M-C SPEE'!$A$1:$WWR$2</definedName>
    <definedName name="_xlnm._FilterDatabase" localSheetId="8" hidden="1">'FORM 6 GASTO AO&amp;M SAPG'!$A$1:$WWQ$2</definedName>
    <definedName name="_xlnm._FilterDatabase" localSheetId="1" hidden="1">'Recursos aprobados'!$A$1:$G$181</definedName>
    <definedName name="_xlnm.Print_Area" localSheetId="3">'FORM 1 GASTO AO&amp;M-C SPEE'!$A$1:$L$13</definedName>
    <definedName name="_xlnm.Print_Area" localSheetId="4">'FORM 2 GASTO AO&amp;M-C SPEE'!$A$1:$M$2</definedName>
    <definedName name="_xlnm.Print_Area" localSheetId="5">Anualidad_SPEE[#All]</definedName>
    <definedName name="_xlnm.Print_Area" localSheetId="6">Expansión_SPEE[#All]</definedName>
    <definedName name="_xlnm.Print_Area" localSheetId="7">'FORM 5 GASTO AO&amp;M SAPG'!$A$1:$I$7</definedName>
    <definedName name="_xlnm.Print_Area" localSheetId="8">Detalle_AOM[#All]</definedName>
    <definedName name="_xlnm.Print_Area" localSheetId="9">Anualidad_SAPG[#All]</definedName>
    <definedName name="_xlnm.Print_Area" localSheetId="10">'FORM 8 EXPANSION SAPG'!$A$1:$AN$259</definedName>
    <definedName name="_xlnm.Print_Area" localSheetId="11">Expansión_SAPG14[#All]</definedName>
    <definedName name="_xlnm.Print_Area" localSheetId="2">'FORM RESUMEN '!$A$1:$L$51</definedName>
    <definedName name="Empresa">#REF!</definedName>
    <definedName name="Empresas" localSheetId="9">#REF!</definedName>
    <definedName name="Empresas" localSheetId="10">#REF!</definedName>
    <definedName name="Empresas" localSheetId="11">#REF!</definedName>
    <definedName name="Empres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3" l="1" a="1"/>
  <c r="E4" i="43" s="1"/>
  <c r="B14" i="45"/>
  <c r="N2" i="51"/>
  <c r="M2" i="34"/>
  <c r="P2" i="33"/>
  <c r="O2" i="16"/>
  <c r="B2" i="47" l="1"/>
  <c r="H10" i="43"/>
  <c r="E9" i="43" a="1"/>
  <c r="E3" i="43" a="1"/>
  <c r="E3" i="43" s="1"/>
  <c r="E5" i="43" a="1"/>
  <c r="E6" i="43" a="1"/>
  <c r="E6" i="43" s="1"/>
  <c r="E7" i="43" a="1"/>
  <c r="E7" i="43" s="1"/>
  <c r="E8" i="43" a="1"/>
  <c r="E8" i="43" s="1"/>
  <c r="E2" i="43" a="1"/>
  <c r="D9" i="44"/>
  <c r="E9" i="43"/>
  <c r="E5" i="43"/>
  <c r="E2" i="43"/>
  <c r="B4" i="47" l="1"/>
  <c r="E10" i="43"/>
  <c r="C8" i="46"/>
  <c r="B8" i="46"/>
  <c r="B4" i="46"/>
  <c r="B11" i="46"/>
  <c r="F10" i="43" l="1"/>
  <c r="G10" i="43"/>
  <c r="I10" i="43"/>
  <c r="J10" i="43"/>
  <c r="K10" i="43"/>
  <c r="C13" i="43" s="1"/>
  <c r="L10" i="43"/>
  <c r="C5" i="45" l="1"/>
  <c r="C4" i="45" s="1"/>
  <c r="D5" i="45"/>
  <c r="D4" i="45" s="1"/>
  <c r="E5" i="45"/>
  <c r="E4" i="45" s="1"/>
  <c r="F5" i="45"/>
  <c r="F4" i="45" s="1"/>
  <c r="G5" i="45"/>
  <c r="G4" i="45" s="1"/>
  <c r="H5" i="45"/>
  <c r="H4" i="45" s="1"/>
  <c r="C12" i="45"/>
  <c r="D12" i="45"/>
  <c r="E12" i="45"/>
  <c r="F12" i="45"/>
  <c r="G12" i="45"/>
  <c r="H12" i="45"/>
  <c r="C14" i="45"/>
  <c r="D14" i="45"/>
  <c r="E14" i="45"/>
  <c r="F14" i="45"/>
  <c r="G14" i="45"/>
  <c r="H14" i="45"/>
  <c r="C20" i="45"/>
  <c r="D20" i="45"/>
  <c r="E20" i="45"/>
  <c r="F20" i="45"/>
  <c r="G20" i="45"/>
  <c r="H20" i="45"/>
  <c r="B75" i="48"/>
  <c r="C44" i="48"/>
  <c r="D44" i="48"/>
  <c r="E44" i="48"/>
  <c r="F44" i="48"/>
  <c r="G44" i="48"/>
  <c r="H44" i="48"/>
  <c r="I44" i="48"/>
  <c r="J44" i="48"/>
  <c r="K44" i="48"/>
  <c r="L44" i="48"/>
  <c r="M44" i="48"/>
  <c r="N44" i="48"/>
  <c r="O44" i="48"/>
  <c r="C50" i="48"/>
  <c r="D50" i="48"/>
  <c r="E50" i="48"/>
  <c r="F50" i="48"/>
  <c r="G50" i="48"/>
  <c r="H50" i="48"/>
  <c r="I50" i="48"/>
  <c r="J50" i="48"/>
  <c r="K50" i="48"/>
  <c r="L50" i="48"/>
  <c r="M50" i="48"/>
  <c r="N50" i="48"/>
  <c r="O50" i="48"/>
  <c r="C64" i="48"/>
  <c r="D64" i="48"/>
  <c r="E64" i="48"/>
  <c r="F64" i="48"/>
  <c r="G64" i="48"/>
  <c r="H64" i="48"/>
  <c r="I64" i="48"/>
  <c r="J64" i="48"/>
  <c r="K64" i="48"/>
  <c r="L64" i="48"/>
  <c r="M64" i="48"/>
  <c r="N64" i="48"/>
  <c r="O64" i="48"/>
  <c r="C75" i="48"/>
  <c r="D75" i="48"/>
  <c r="E75" i="48"/>
  <c r="F75" i="48"/>
  <c r="G75" i="48"/>
  <c r="H75" i="48"/>
  <c r="I75" i="48"/>
  <c r="J75" i="48"/>
  <c r="K75" i="48"/>
  <c r="L75" i="48"/>
  <c r="M75" i="48"/>
  <c r="N75" i="48"/>
  <c r="O75" i="48"/>
  <c r="B64" i="48"/>
  <c r="B50" i="48"/>
  <c r="O5" i="48"/>
  <c r="O11" i="48"/>
  <c r="O25" i="48"/>
  <c r="O36" i="48"/>
  <c r="C5" i="48"/>
  <c r="D5" i="48"/>
  <c r="E5" i="48"/>
  <c r="F5" i="48"/>
  <c r="G5" i="48"/>
  <c r="H5" i="48"/>
  <c r="I5" i="48"/>
  <c r="J5" i="48"/>
  <c r="K5" i="48"/>
  <c r="L5" i="48"/>
  <c r="M5" i="48"/>
  <c r="N5" i="48"/>
  <c r="C11" i="48"/>
  <c r="D11" i="48"/>
  <c r="E11" i="48"/>
  <c r="F11" i="48"/>
  <c r="G11" i="48"/>
  <c r="H11" i="48"/>
  <c r="I11" i="48"/>
  <c r="J11" i="48"/>
  <c r="K11" i="48"/>
  <c r="L11" i="48"/>
  <c r="M11" i="48"/>
  <c r="N11" i="48"/>
  <c r="C25" i="48"/>
  <c r="D25" i="48"/>
  <c r="E25" i="48"/>
  <c r="F25" i="48"/>
  <c r="G25" i="48"/>
  <c r="H25" i="48"/>
  <c r="I25" i="48"/>
  <c r="J25" i="48"/>
  <c r="K25" i="48"/>
  <c r="L25" i="48"/>
  <c r="M25" i="48"/>
  <c r="N25" i="48"/>
  <c r="C36" i="48"/>
  <c r="D36" i="48"/>
  <c r="E36" i="48"/>
  <c r="F36" i="48"/>
  <c r="G36" i="48"/>
  <c r="H36" i="48"/>
  <c r="I36" i="48"/>
  <c r="J36" i="48"/>
  <c r="K36" i="48"/>
  <c r="L36" i="48"/>
  <c r="M36" i="48"/>
  <c r="N36" i="48"/>
  <c r="B36" i="48"/>
  <c r="B11" i="48"/>
  <c r="B5" i="48"/>
  <c r="B25" i="48"/>
  <c r="C3" i="45" l="1"/>
  <c r="C22" i="45" s="1"/>
  <c r="M4" i="48"/>
  <c r="G3" i="45"/>
  <c r="G22" i="45" s="1"/>
  <c r="L43" i="48"/>
  <c r="J43" i="48"/>
  <c r="M43" i="48"/>
  <c r="N43" i="48"/>
  <c r="H43" i="48"/>
  <c r="C4" i="48"/>
  <c r="D43" i="48"/>
  <c r="F43" i="48"/>
  <c r="B4" i="48"/>
  <c r="I4" i="48"/>
  <c r="E43" i="48"/>
  <c r="D4" i="48"/>
  <c r="N4" i="48"/>
  <c r="K43" i="48"/>
  <c r="L4" i="48"/>
  <c r="I43" i="48"/>
  <c r="G43" i="48"/>
  <c r="K4" i="48"/>
  <c r="O4" i="48"/>
  <c r="J4" i="48"/>
  <c r="H4" i="48"/>
  <c r="F4" i="48"/>
  <c r="C43" i="48"/>
  <c r="G4" i="48"/>
  <c r="E4" i="48"/>
  <c r="O43" i="48"/>
  <c r="H3" i="45"/>
  <c r="H22" i="45" s="1"/>
  <c r="E3" i="45"/>
  <c r="E22" i="45" s="1"/>
  <c r="F3" i="45"/>
  <c r="F22" i="45" s="1"/>
  <c r="D3" i="45"/>
  <c r="D22" i="45" s="1"/>
  <c r="B20" i="45" l="1"/>
  <c r="H15" i="46"/>
  <c r="G15" i="46"/>
  <c r="F15" i="46"/>
  <c r="E15" i="46"/>
  <c r="D15" i="46"/>
  <c r="C15" i="46"/>
  <c r="H11" i="46"/>
  <c r="G11" i="46"/>
  <c r="F11" i="46"/>
  <c r="E11" i="46"/>
  <c r="D11" i="46"/>
  <c r="C11" i="46"/>
  <c r="H8" i="46"/>
  <c r="G8" i="46"/>
  <c r="F8" i="46"/>
  <c r="E8" i="46"/>
  <c r="D8" i="46"/>
  <c r="H4" i="46"/>
  <c r="G4" i="46"/>
  <c r="F4" i="46"/>
  <c r="E4" i="46"/>
  <c r="D4" i="46"/>
  <c r="C4" i="46"/>
  <c r="E48" i="44" l="1"/>
  <c r="D28" i="46"/>
  <c r="H28" i="46"/>
  <c r="G28" i="46"/>
  <c r="C28" i="46"/>
  <c r="F28" i="46"/>
  <c r="E28" i="46"/>
  <c r="B44" i="48"/>
  <c r="B43" i="48" s="1"/>
  <c r="E83" i="48" l="1"/>
  <c r="H83" i="48"/>
  <c r="J83" i="48"/>
  <c r="K83" i="48" l="1"/>
  <c r="D83" i="48"/>
  <c r="M83" i="48"/>
  <c r="L83" i="48"/>
  <c r="I83" i="48"/>
  <c r="C83" i="48"/>
  <c r="N83" i="48"/>
  <c r="F83" i="48"/>
  <c r="O83" i="48"/>
  <c r="G83" i="48"/>
  <c r="B83" i="48"/>
  <c r="B17" i="44"/>
  <c r="B16" i="44"/>
  <c r="B15" i="44"/>
  <c r="B14" i="44"/>
  <c r="B12" i="45"/>
  <c r="H18" i="44" l="1"/>
  <c r="I4" i="47"/>
  <c r="H4" i="47"/>
  <c r="B7" i="47" s="1"/>
  <c r="G4" i="47"/>
  <c r="F4" i="47"/>
  <c r="E4" i="47"/>
  <c r="D4" i="47"/>
  <c r="C4" i="47"/>
  <c r="B15" i="46"/>
  <c r="B5" i="45"/>
  <c r="B4" i="45" s="1"/>
  <c r="B3" i="45" s="1"/>
  <c r="E18" i="44" s="1"/>
  <c r="B28" i="46" l="1"/>
  <c r="B22" i="45"/>
  <c r="G18" i="44"/>
  <c r="I18" i="44" l="1"/>
  <c r="K18" i="44"/>
  <c r="J18" i="44"/>
  <c r="F18" i="44"/>
  <c r="G30" i="44" l="1"/>
  <c r="K30" i="44"/>
  <c r="F48" i="44"/>
  <c r="J48" i="44"/>
  <c r="H30" i="44"/>
  <c r="G48" i="44"/>
  <c r="K48" i="44"/>
  <c r="H48" i="44"/>
  <c r="F30" i="44"/>
  <c r="J30" i="44"/>
  <c r="E30" i="44"/>
  <c r="E31" i="44" s="1"/>
  <c r="I30" i="44"/>
  <c r="I48" i="44"/>
  <c r="J31" i="44" l="1"/>
  <c r="F31" i="44"/>
  <c r="I31" i="44"/>
  <c r="H31" i="44"/>
  <c r="G31" i="44"/>
  <c r="K31" i="4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<sst xmlns="http://schemas.openxmlformats.org/spreadsheetml/2006/main" count="1557" uniqueCount="360">
  <si>
    <t>Calidad</t>
  </si>
  <si>
    <t>No aplica</t>
  </si>
  <si>
    <t>SPEE</t>
  </si>
  <si>
    <t>Subtransmisión</t>
  </si>
  <si>
    <t>Distribución</t>
  </si>
  <si>
    <t>Instalaciones de Servicio al Cliente</t>
  </si>
  <si>
    <t>Comercialización</t>
  </si>
  <si>
    <t>Finalizado</t>
  </si>
  <si>
    <t>Gastos administrativos</t>
  </si>
  <si>
    <t>Gastos de venta</t>
  </si>
  <si>
    <t>Iniciado</t>
  </si>
  <si>
    <t>No iniciado</t>
  </si>
  <si>
    <t>Paralizado</t>
  </si>
  <si>
    <t>Responsabilidad Ambiental</t>
  </si>
  <si>
    <t>Elaboración de pliegos 5%</t>
  </si>
  <si>
    <t>Disponibilidad de pliegos 10%</t>
  </si>
  <si>
    <t>Publicación del proceso 15%</t>
  </si>
  <si>
    <t>Resolución de adjudicación 30%</t>
  </si>
  <si>
    <t>Adjudicación y firma de contrato 40%</t>
  </si>
  <si>
    <t>Acta de entrega - recepción 95%</t>
  </si>
  <si>
    <t>Registro contable 100%</t>
  </si>
  <si>
    <t>No iniciado 0%</t>
  </si>
  <si>
    <t>En ejecución 41% - 90%</t>
  </si>
  <si>
    <t>Servicios</t>
  </si>
  <si>
    <t>Otros gastos</t>
  </si>
  <si>
    <t>descripcion_partida</t>
  </si>
  <si>
    <t>etapa_funcional</t>
  </si>
  <si>
    <t>tipo_gasto</t>
  </si>
  <si>
    <t>grupo_gasto</t>
  </si>
  <si>
    <t>asignacion_inicial</t>
  </si>
  <si>
    <t>reformas</t>
  </si>
  <si>
    <t>pre_compromiso</t>
  </si>
  <si>
    <t>compromiso</t>
  </si>
  <si>
    <t>devengado</t>
  </si>
  <si>
    <t>proyecto_arrastre</t>
  </si>
  <si>
    <t>codigo_ecostos</t>
  </si>
  <si>
    <t>nombre_proyecto</t>
  </si>
  <si>
    <t>objeto_proyecto</t>
  </si>
  <si>
    <t>provincia</t>
  </si>
  <si>
    <t>canton</t>
  </si>
  <si>
    <t>parroquia</t>
  </si>
  <si>
    <t>estado_proyecto</t>
  </si>
  <si>
    <t>avance_ejecucion_fisica</t>
  </si>
  <si>
    <t>avance_ejecucion_total</t>
  </si>
  <si>
    <t>fecha_inicio_proyecto</t>
  </si>
  <si>
    <t>fecha_pro_fin_proyecto</t>
  </si>
  <si>
    <t>fecha_fin_proyecto</t>
  </si>
  <si>
    <t>monto_calificado</t>
  </si>
  <si>
    <t>devengado_arrastre</t>
  </si>
  <si>
    <t>bd_planificado</t>
  </si>
  <si>
    <t>bd_ejecutado</t>
  </si>
  <si>
    <t>vcs_planificado</t>
  </si>
  <si>
    <t>vcs_ejecutado</t>
  </si>
  <si>
    <t>vss_planificado</t>
  </si>
  <si>
    <t>vss_ejecutado</t>
  </si>
  <si>
    <t>tv_planificado</t>
  </si>
  <si>
    <t>tv_ejecutado</t>
  </si>
  <si>
    <t>ln_planificado</t>
  </si>
  <si>
    <t>ln_ejecutado</t>
  </si>
  <si>
    <t>at_planificado</t>
  </si>
  <si>
    <t>at_ejecutado</t>
  </si>
  <si>
    <t>mt_planificado</t>
  </si>
  <si>
    <t>mt_ejecutado</t>
  </si>
  <si>
    <t>bt_planificado</t>
  </si>
  <si>
    <t>bt_ejecutado</t>
  </si>
  <si>
    <t>am_planificado</t>
  </si>
  <si>
    <t>am_ejecutado</t>
  </si>
  <si>
    <t>m_planificado</t>
  </si>
  <si>
    <t>m_ejecutado</t>
  </si>
  <si>
    <t>td_planificado</t>
  </si>
  <si>
    <t>td_ejecutado</t>
  </si>
  <si>
    <t>pitd_planificado</t>
  </si>
  <si>
    <t>pitd_ejecutado</t>
  </si>
  <si>
    <t>sdn_planificado</t>
  </si>
  <si>
    <t>sdn_ejecutado</t>
  </si>
  <si>
    <t>pisdn_planificado</t>
  </si>
  <si>
    <t>pisdn_ejecutado</t>
  </si>
  <si>
    <t>perm_amb</t>
  </si>
  <si>
    <t>fecha_perm_amb_planif</t>
  </si>
  <si>
    <t>fecha_perm_amb_ejec</t>
  </si>
  <si>
    <t>empleos_generados</t>
  </si>
  <si>
    <t>observaciones</t>
  </si>
  <si>
    <t>fecha_permiso_planif</t>
  </si>
  <si>
    <t>fecha_permiso_ejec</t>
  </si>
  <si>
    <t>anticipo_no_amortizado</t>
  </si>
  <si>
    <t>presupuesto_codificado_arrastre</t>
  </si>
  <si>
    <t>nro_partida</t>
  </si>
  <si>
    <t>presupuesto_codificado</t>
  </si>
  <si>
    <t>distribuidora</t>
  </si>
  <si>
    <t>proyecto_calificado_ecostos</t>
  </si>
  <si>
    <t>codigo_proyecto_eed</t>
  </si>
  <si>
    <t>etapa_ejecucion_proyecto</t>
  </si>
  <si>
    <t>anio_calificacion</t>
  </si>
  <si>
    <t>AOMC</t>
  </si>
  <si>
    <t>CNEL EP Oficina Central</t>
  </si>
  <si>
    <t>CNEL EP UN Bolívar</t>
  </si>
  <si>
    <t>CNEL EP UN El Oro</t>
  </si>
  <si>
    <t>CNEL EP UN Esmeraldas</t>
  </si>
  <si>
    <t>CNEL EP UN Guayaquil</t>
  </si>
  <si>
    <t>CNEL EP UN Guayas Los Ríos</t>
  </si>
  <si>
    <t>CNEL EP UN Los Ríos</t>
  </si>
  <si>
    <t>CNEL EP UN Manabí</t>
  </si>
  <si>
    <t>CNEL EP UN Milagro</t>
  </si>
  <si>
    <t>CNEL EP UN Santa Elena</t>
  </si>
  <si>
    <t>CNEL EP UN Santo Domingo</t>
  </si>
  <si>
    <t>CNEL EP UN Sucumbíos</t>
  </si>
  <si>
    <t>EE Ambato</t>
  </si>
  <si>
    <t>EE Azogues</t>
  </si>
  <si>
    <t>EE Centro Sur</t>
  </si>
  <si>
    <t>EE Cotopaxi</t>
  </si>
  <si>
    <t>EE Galápagos</t>
  </si>
  <si>
    <t>EE Norte</t>
  </si>
  <si>
    <t>EE Quito</t>
  </si>
  <si>
    <t>EE Riobamba</t>
  </si>
  <si>
    <t>EE Sur</t>
  </si>
  <si>
    <t>AOM</t>
  </si>
  <si>
    <t>ETAPA FUNCIONAL</t>
  </si>
  <si>
    <t>Asignación inicial
(USD)</t>
  </si>
  <si>
    <t>Reformas
(USD)</t>
  </si>
  <si>
    <t>Codificado
(USD)</t>
  </si>
  <si>
    <t>Compromiso
(USD)</t>
  </si>
  <si>
    <t>Devengado
(USD)</t>
  </si>
  <si>
    <t>Lineas de Subtransmisión</t>
  </si>
  <si>
    <t>Red</t>
  </si>
  <si>
    <t>S/E de Distribución</t>
  </si>
  <si>
    <t>Alimentadores Primarios</t>
  </si>
  <si>
    <t>Transformadores de Distribución</t>
  </si>
  <si>
    <t>Red Secundaria</t>
  </si>
  <si>
    <t>Acometidas y Medidores</t>
  </si>
  <si>
    <t>Administración</t>
  </si>
  <si>
    <t>gestion</t>
  </si>
  <si>
    <t>Empresa Distribuidora:</t>
  </si>
  <si>
    <t>Con corte a:</t>
  </si>
  <si>
    <t>Fecha de entrega:</t>
  </si>
  <si>
    <t>CONCEPTO</t>
  </si>
  <si>
    <t>Pre-Compromiso
(USD)</t>
  </si>
  <si>
    <t>PRESUPUESTO DE OPERACIÓN</t>
  </si>
  <si>
    <t>Ingresos presupuestarios</t>
  </si>
  <si>
    <t>Ingresos presupuestarios neto:</t>
  </si>
  <si>
    <t>Costos presupuestarios</t>
  </si>
  <si>
    <t>Servicio público de energía eléctrica</t>
  </si>
  <si>
    <t xml:space="preserve">   Costo de energía</t>
  </si>
  <si>
    <t xml:space="preserve">   Costo de generación</t>
  </si>
  <si>
    <t xml:space="preserve">   Costos de Red, Comercialización y Administración - AOM&amp;C</t>
  </si>
  <si>
    <t>Servicio de alumbrado público general</t>
  </si>
  <si>
    <t xml:space="preserve">   Costos de Administración, Operación y Mantenimiento</t>
  </si>
  <si>
    <t>Depreciación, Deterioro y Amortización</t>
  </si>
  <si>
    <t>Otros gastos no operativos</t>
  </si>
  <si>
    <t>Costos y gastos presupuestarios:</t>
  </si>
  <si>
    <t>Superávit / Déficit presupuestario por uso de recursos propios:</t>
  </si>
  <si>
    <t>PRESUPUESTO DE INVERSIÓN</t>
  </si>
  <si>
    <t xml:space="preserve">   Costos de Inversión para Expansión</t>
  </si>
  <si>
    <t xml:space="preserve">   Otros Programas y/o Proyectos SPEE (Uso del recurso de la tarifa)</t>
  </si>
  <si>
    <t xml:space="preserve">   Otros Programas y/o Proyectos SAPG (Uso del recurso de la tarifa)</t>
  </si>
  <si>
    <t>Presupuesto General del Estado y otros financiamientos</t>
  </si>
  <si>
    <t>Proyectos financiados con Organismos multilaterales y Aporte Local SPEE</t>
  </si>
  <si>
    <t>Proyectos financiados con Organismos multilaterales y Aporte Local SAPG</t>
  </si>
  <si>
    <t>Proyectos de Generación</t>
  </si>
  <si>
    <t>TOTAL PRESUPUESTO DE INVERSIÓN:</t>
  </si>
  <si>
    <t>INGRESOS PRESUPUESTARIOS</t>
  </si>
  <si>
    <t>Monto Codificado
(USD)</t>
  </si>
  <si>
    <t>INGRESOS DE ACTIVIDADES ORDINARIAS (Operación)</t>
  </si>
  <si>
    <t>Venta de Energía con Tarifa 0%</t>
  </si>
  <si>
    <t>Venta de Energía Consumidores</t>
  </si>
  <si>
    <t>Residencial</t>
  </si>
  <si>
    <t>Comercial</t>
  </si>
  <si>
    <t>Industrial</t>
  </si>
  <si>
    <t>Otras</t>
  </si>
  <si>
    <t>Venta de Energía Generada</t>
  </si>
  <si>
    <t>Venta de Energía de Sistema de Alumbrado Público</t>
  </si>
  <si>
    <t>Otras Ventas Tarifa 0%</t>
  </si>
  <si>
    <t>Otras Ventas con Tarifa 0% Relacionado a la Venta Energía</t>
  </si>
  <si>
    <t>Ingresos por Venta de Bienes y Servicios relacionados con la Energía</t>
  </si>
  <si>
    <t>Ingresos por Venta de Bienes y Servicios no relacionados con la Energía</t>
  </si>
  <si>
    <t>Déficit Tarifario</t>
  </si>
  <si>
    <t>Intereses Ganados</t>
  </si>
  <si>
    <t>Otros ingresos no operativos</t>
  </si>
  <si>
    <t>TOTAL INGRESOS:</t>
  </si>
  <si>
    <t>COMPONENTES</t>
  </si>
  <si>
    <t>Asignación inicial 
(USD)</t>
  </si>
  <si>
    <t>Costo de energía</t>
  </si>
  <si>
    <t xml:space="preserve"> COSTO DE DISTRIBUCIÓN Y COMERCIALIZACIÓN</t>
  </si>
  <si>
    <t>Costos de Red, Comercialización y Administración - AOM&amp;C</t>
  </si>
  <si>
    <t>Costos de Inversión para Expansión</t>
  </si>
  <si>
    <t>Total:</t>
  </si>
  <si>
    <t>PLAN DE ALUMBRADO PÚBLICO</t>
  </si>
  <si>
    <t>Costos de Administración, Operación y Mantenimiento</t>
  </si>
  <si>
    <t>Costos de Expansión</t>
  </si>
  <si>
    <t>Otros Programas y/o Proyectos (Uso del recurso de la tarifa, No Estudios de Costos)</t>
  </si>
  <si>
    <t>Presupuesto General del Estado</t>
  </si>
  <si>
    <t>Proyectos financiados con Organismos multilaterales y Aporte Local de SPEE</t>
  </si>
  <si>
    <t>Proyectos financiados con Organismos multilaterales y Aporte Local de SAPG</t>
  </si>
  <si>
    <t>Costos de Generación</t>
  </si>
  <si>
    <t>Proyectos Generación</t>
  </si>
  <si>
    <t>Gastos de depreciación de propiedad, planta y equipo, deterioro y baja de propiedad, planta y equipo, deterioro de otros activos y amortización</t>
  </si>
  <si>
    <t>TOTAL EGRESOS PRESUPUESTARIOS:</t>
  </si>
  <si>
    <t>Operación y Mantenimiento</t>
  </si>
  <si>
    <t>ENERO</t>
  </si>
  <si>
    <t>FEBRERO</t>
  </si>
  <si>
    <t xml:space="preserve">MARZO 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</si>
  <si>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</si>
  <si>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</si>
  <si>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</si>
  <si>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</si>
  <si>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</si>
  <si>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</si>
  <si>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</si>
  <si>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</si>
  <si>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</si>
  <si>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ACUMULADO</t>
  </si>
  <si>
    <t>SALDO INICIAL DE EFECTIVO</t>
  </si>
  <si>
    <t>ENTRADAS DE EFECTIVO</t>
  </si>
  <si>
    <t>1.-Ingresos de Operación</t>
  </si>
  <si>
    <t>Venta de Energia Consumidores</t>
  </si>
  <si>
    <t>Venta de Energía Sistema de Alumbrado Público</t>
  </si>
  <si>
    <t>Ingresos que no son Venta de Energía</t>
  </si>
  <si>
    <t>2.-Recursos para Inversión Programas de Crédito</t>
  </si>
  <si>
    <t>PLANREP Crédito</t>
  </si>
  <si>
    <t>PMD  Crédito</t>
  </si>
  <si>
    <t>PMD BID I</t>
  </si>
  <si>
    <t>PMD BID II</t>
  </si>
  <si>
    <t>PMD BID III</t>
  </si>
  <si>
    <t>PMD CAF</t>
  </si>
  <si>
    <t>PMD AFD</t>
  </si>
  <si>
    <t>PMD BID V</t>
  </si>
  <si>
    <t xml:space="preserve">FERUM </t>
  </si>
  <si>
    <t>FERUM BID II</t>
  </si>
  <si>
    <t>FERUM BID III</t>
  </si>
  <si>
    <t>FERUM BID V</t>
  </si>
  <si>
    <t>PRIZA</t>
  </si>
  <si>
    <t>3.-Recursos Fiscales</t>
  </si>
  <si>
    <t xml:space="preserve">PMD Fiscales </t>
  </si>
  <si>
    <t>FERUM Fiscales</t>
  </si>
  <si>
    <t>BID I</t>
  </si>
  <si>
    <t>BID II</t>
  </si>
  <si>
    <t>BIDIII</t>
  </si>
  <si>
    <t>BID IV</t>
  </si>
  <si>
    <t>BID V</t>
  </si>
  <si>
    <t>BID VI</t>
  </si>
  <si>
    <t>Subsidios ( cuentas por cobrar)</t>
  </si>
  <si>
    <t>4.-Otros Ingresos de Efectivo</t>
  </si>
  <si>
    <t>Otras Inversiones y Convenios</t>
  </si>
  <si>
    <t xml:space="preserve">Aportes de Otros Accionistas </t>
  </si>
  <si>
    <t>Contribuciones de usuarios</t>
  </si>
  <si>
    <t>5.-Ingresos PEC-RENOVA Clientes</t>
  </si>
  <si>
    <t>6.- Recaudación Terceros (tasa de recolección de basura, impuesto a bomberos, etc.)</t>
  </si>
  <si>
    <t>EGRESOS DE EFECTIVO</t>
  </si>
  <si>
    <t>Costo de Energía Comprada</t>
  </si>
  <si>
    <t>Mano de Obra</t>
  </si>
  <si>
    <t>Materiales</t>
  </si>
  <si>
    <t>Otros Egresos de efectivo Operativos</t>
  </si>
  <si>
    <t>2.-Utilización Recursos para inversión Programas de Crédito</t>
  </si>
  <si>
    <t>PLANREP CREDITO</t>
  </si>
  <si>
    <t>PMD  CREDITO</t>
  </si>
  <si>
    <t>3.-Utilización Recursos Fiscales</t>
  </si>
  <si>
    <t>FERUM FISCALES</t>
  </si>
  <si>
    <t>Subsidios (Cuentas por cobrar MEF)</t>
  </si>
  <si>
    <t>Autogestión</t>
  </si>
  <si>
    <t>5. EGRESOS Planes PEC - RENOVA</t>
  </si>
  <si>
    <t>6. Documentos y Cuentas por Pagar  ( excedentes al MEF)</t>
  </si>
  <si>
    <t>7. Egreso a Terceros (tasa de recolección de basura, impuesto a bomberos, etc.)</t>
  </si>
  <si>
    <t>SALDO FINAL DEL EFECTIVO</t>
  </si>
  <si>
    <t xml:space="preserve">En cuentas Recaudación </t>
  </si>
  <si>
    <t>En cuentas Operación</t>
  </si>
  <si>
    <t>En cuentas Inversiones</t>
  </si>
  <si>
    <t xml:space="preserve">Elaborado por: </t>
  </si>
  <si>
    <t>Revisado por:</t>
  </si>
  <si>
    <t>ANALISIS BREVE DEL FLUJO DE CAJA</t>
  </si>
  <si>
    <t xml:space="preserve"> </t>
  </si>
  <si>
    <t xml:space="preserve">   Costos de Anualidad del Activo SPEE</t>
  </si>
  <si>
    <t>Costos de Anualidad del Activo SAPG</t>
  </si>
  <si>
    <t>Mejora</t>
  </si>
  <si>
    <t>Repotenciación</t>
  </si>
  <si>
    <t>Reposición</t>
  </si>
  <si>
    <t xml:space="preserve">   Costos de Anualidad del Activo SAPG</t>
  </si>
  <si>
    <t>Los responsables de la veracidad y oportunidad de la información técnica y financiera del registro de la ejecución presupuestaria del período fiscal 2025 será de la Empresa Eléctrica de Distribución, encargados del ingreso de la información requerida por la ARCONEL.</t>
  </si>
  <si>
    <t>Ln_inst_tipo</t>
  </si>
  <si>
    <t>Ln_inst_potencia</t>
  </si>
  <si>
    <t>Ln_inst_cantidad</t>
  </si>
  <si>
    <t>Ln_reemp_tipo</t>
  </si>
  <si>
    <t>Ln_reemp_potencia</t>
  </si>
  <si>
    <t>Ln_reemp_cantidad</t>
  </si>
  <si>
    <t>Lumin_inst_total</t>
  </si>
  <si>
    <t>Postes_reemp_número</t>
  </si>
  <si>
    <t>Postes_nuev_número</t>
  </si>
  <si>
    <t>Benef_dir_número</t>
  </si>
  <si>
    <t>Costos de Anualidad del Activo SPEE</t>
  </si>
  <si>
    <t>Justificación sobre el movimiento del flujo  clara y precisa los hechos más relevantes</t>
  </si>
  <si>
    <r>
      <t xml:space="preserve">Cuentas por cobrar </t>
    </r>
    <r>
      <rPr>
        <b/>
        <i/>
        <sz val="10"/>
        <color theme="1"/>
        <rFont val="Arial Narrow"/>
        <family val="2"/>
      </rPr>
      <t>(Informativo)</t>
    </r>
  </si>
  <si>
    <t>Ventas</t>
  </si>
  <si>
    <t>OTROS INGRESOS NO OPERATIVOS</t>
  </si>
  <si>
    <r>
      <t xml:space="preserve">Otros Programas y/o Proyectos SPEE
</t>
    </r>
    <r>
      <rPr>
        <i/>
        <sz val="10"/>
        <color theme="1"/>
        <rFont val="Arial Narrow"/>
        <family val="2"/>
      </rPr>
      <t>(Uso del recurso de la tarifa)</t>
    </r>
  </si>
  <si>
    <r>
      <t xml:space="preserve">Otros Programas y/o Proyectos SAPG
</t>
    </r>
    <r>
      <rPr>
        <i/>
        <sz val="10"/>
        <color theme="1"/>
        <rFont val="Arial Narrow"/>
        <family val="2"/>
      </rPr>
      <t>(Uso del recurso de la tarifa)</t>
    </r>
  </si>
  <si>
    <r>
      <t xml:space="preserve">Cuentas por pagar </t>
    </r>
    <r>
      <rPr>
        <b/>
        <i/>
        <sz val="10"/>
        <color theme="1"/>
        <rFont val="Arial Narrow"/>
        <family val="2"/>
      </rPr>
      <t>(Informativo)</t>
    </r>
  </si>
  <si>
    <t>TOTALES</t>
  </si>
  <si>
    <t>rubro_arrastre</t>
  </si>
  <si>
    <t>aso_transmisión</t>
  </si>
  <si>
    <t>Registro Ambiental</t>
  </si>
  <si>
    <t>pagado</t>
  </si>
  <si>
    <t>pagado_arrastre</t>
  </si>
  <si>
    <t>Pagado
(USD)</t>
  </si>
  <si>
    <t xml:space="preserve">AGENCIA DE REGULACIÓN Y CONTROL DE ELECTRICIDAD - ARCONEL </t>
  </si>
  <si>
    <t>nro_personal_fem</t>
  </si>
  <si>
    <t>RESUMEN DE EJECUCIÓN PRESUPUESTARIA</t>
  </si>
  <si>
    <t>Recaudado
(USD)</t>
  </si>
  <si>
    <t xml:space="preserve">   Costos de Expansión</t>
  </si>
  <si>
    <t>Al 31 de mayo de 2026</t>
  </si>
  <si>
    <t>Al 30 de junio de 2026</t>
  </si>
  <si>
    <t>Al 31 de julio de 2026</t>
  </si>
  <si>
    <t>Al 31 de agosto de 2026</t>
  </si>
  <si>
    <t>Al 30 de septiembre de 2026</t>
  </si>
  <si>
    <t>Al 31 de octubre de 2026</t>
  </si>
  <si>
    <t>Al 30 de noviembre de 2026</t>
  </si>
  <si>
    <t>PERÍODO: Enero a diciembre 2026</t>
  </si>
  <si>
    <t>sora</t>
  </si>
  <si>
    <t>CNEL EP Eficiencia Energética</t>
  </si>
  <si>
    <t>SIGDE</t>
  </si>
  <si>
    <t>Confiabilidad</t>
  </si>
  <si>
    <t>Otros</t>
  </si>
  <si>
    <t>subetapafuncional</t>
  </si>
  <si>
    <t>aprobado</t>
  </si>
  <si>
    <t>ejecutado_pagado</t>
  </si>
  <si>
    <t>distribuidoras</t>
  </si>
  <si>
    <t>rubros_spee</t>
  </si>
  <si>
    <t>etapas_funcionales_spee</t>
  </si>
  <si>
    <t>sub_etapas_funcionales_spee</t>
  </si>
  <si>
    <t>servicio</t>
  </si>
  <si>
    <t>SAPG</t>
  </si>
  <si>
    <t>SALDOS A
 31 12 2025</t>
  </si>
  <si>
    <t>Subsidios (Recaudación real)</t>
  </si>
  <si>
    <t>Multas a contratistas</t>
  </si>
  <si>
    <t>Costos Anualidad</t>
  </si>
  <si>
    <t>4.- Egresos de inversión</t>
  </si>
  <si>
    <t>Ventas con Tarifa 15%</t>
  </si>
  <si>
    <t>Subsidios (Informativo)</t>
  </si>
  <si>
    <t>fuente</t>
  </si>
  <si>
    <t>servicios</t>
  </si>
  <si>
    <t>SCVE</t>
  </si>
  <si>
    <t>fecha_corte</t>
  </si>
  <si>
    <t>Al 31 de diciembre de 2026 - Preliminar</t>
  </si>
  <si>
    <t>Al 31 de diciembre de 2026 - Definitivo</t>
  </si>
  <si>
    <t>fecha_entrega</t>
  </si>
  <si>
    <t>año</t>
  </si>
  <si>
    <t>rubro</t>
  </si>
  <si>
    <t>monto_aprobado</t>
  </si>
  <si>
    <t>USD</t>
  </si>
  <si>
    <t>sub_etapa_funcional</t>
  </si>
  <si>
    <t>total_gasto_AOMC</t>
  </si>
  <si>
    <t>tipo_de_proyecto</t>
  </si>
  <si>
    <t>tipo_proyecto</t>
  </si>
  <si>
    <t>tipo_permiso_ambiental</t>
  </si>
  <si>
    <t>total_gasto_AOM</t>
  </si>
  <si>
    <t>rubros_sapg</t>
  </si>
  <si>
    <t>1.-Egresos de Operación</t>
  </si>
  <si>
    <t>Licencia Ambiental</t>
  </si>
  <si>
    <t>Certificado Ambiental</t>
  </si>
  <si>
    <t>Gastos financieros</t>
  </si>
  <si>
    <t>FERUM</t>
  </si>
  <si>
    <t>PMD Fiscales</t>
  </si>
  <si>
    <t>Aportes de accionistas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</si>
</sst>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[$-300A]d&quot;/&quot;mmm&quot;/ &quot;yyyy"/>
    <numFmt numFmtId="167" formatCode="_-* #,##0.00\ _€_-;\-* #,##0.00\ _€_-;_-* &quot;-&quot;??\ _€_-;_-@_-"/>
    <numFmt numFmtId="168" formatCode="#,##0.00_ ;\-#,##0.00\ "/>
    <numFmt numFmtId="169" formatCode="[$-F800]dddd\,\ mmmm\ dd\,\ yyyy"/>
    <numFmt numFmtId="170" formatCode="#,##0_ ;\-#,##0\ "/>
  </numFmts>
  <fonts count="2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Calibri"/>
      <family val="2"/>
    </font>
    <font>
      <sz val="10"/>
      <color rgb="FF000000"/>
      <name val="Arial Narrow"/>
      <family val="2"/>
    </font>
    <font>
      <b/>
      <sz val="10"/>
      <color theme="0"/>
      <name val="Arial Narrow"/>
      <family val="2"/>
    </font>
    <font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i/>
      <sz val="10"/>
      <color theme="0"/>
      <name val="Arial Narrow"/>
      <family val="2"/>
    </font>
    <font>
      <b/>
      <i/>
      <u/>
      <sz val="10"/>
      <color theme="1"/>
      <name val="Arial Narrow"/>
      <family val="2"/>
    </font>
    <font>
      <sz val="10"/>
      <color indexed="8"/>
      <name val="Arial Narrow"/>
      <family val="2"/>
    </font>
    <font>
      <i/>
      <sz val="10"/>
      <color theme="1"/>
      <name val="Arial Narrow"/>
      <family val="2"/>
    </font>
    <font>
      <sz val="10"/>
      <color theme="0"/>
      <name val="Arial Narrow"/>
      <family val="2"/>
    </font>
    <font>
      <sz val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8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theme="1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9">
    <xf numFmtId="0" fontId="0" fillId="0" borderId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6" fillId="0" borderId="1"/>
    <xf numFmtId="0" fontId="4" fillId="0" borderId="1"/>
    <xf numFmtId="0" fontId="3" fillId="0" borderId="1"/>
    <xf numFmtId="43" fontId="3" fillId="0" borderId="1" applyFont="0" applyFill="0" applyBorder="0" applyAlignment="0" applyProtection="0"/>
    <xf numFmtId="43" fontId="7" fillId="0" borderId="1" applyFont="0" applyFill="0" applyBorder="0" applyAlignment="0" applyProtection="0"/>
    <xf numFmtId="37" fontId="8" fillId="0" borderId="1"/>
    <xf numFmtId="43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44" fontId="4" fillId="0" borderId="1" applyFont="0" applyFill="0" applyBorder="0" applyAlignment="0" applyProtection="0"/>
    <xf numFmtId="165" fontId="9" fillId="0" borderId="0" applyFont="0" applyFill="0" applyBorder="0" applyAlignment="0" applyProtection="0"/>
    <xf numFmtId="0" fontId="2" fillId="0" borderId="1"/>
    <xf numFmtId="164" fontId="2" fillId="0" borderId="1" applyFont="0" applyFill="0" applyBorder="0" applyAlignment="0" applyProtection="0"/>
    <xf numFmtId="167" fontId="2" fillId="0" borderId="1" applyFont="0" applyFill="0" applyBorder="0" applyAlignment="0" applyProtection="0"/>
    <xf numFmtId="167" fontId="2" fillId="0" borderId="1" applyFont="0" applyFill="0" applyBorder="0" applyAlignment="0" applyProtection="0"/>
    <xf numFmtId="0" fontId="1" fillId="0" borderId="1"/>
    <xf numFmtId="43" fontId="1" fillId="0" borderId="1" applyFont="0" applyFill="0" applyBorder="0" applyAlignment="0" applyProtection="0"/>
  </cellStyleXfs>
  <cellXfs count="288">
    <xf numFmtId="0" fontId="0" fillId="0" borderId="0" xfId="0"/>
    <xf numFmtId="0" fontId="10" fillId="0" borderId="0" xfId="0" applyFont="1"/>
    <xf numFmtId="0" fontId="11" fillId="14" borderId="16" xfId="0" applyFont="1" applyFill="1" applyBorder="1" applyAlignment="1">
      <alignment horizontal="center" vertical="center"/>
    </xf>
    <xf numFmtId="0" fontId="11" fillId="14" borderId="17" xfId="0" applyFont="1" applyFill="1" applyBorder="1" applyAlignment="1">
      <alignment horizontal="center" vertical="center"/>
    </xf>
    <xf numFmtId="0" fontId="15" fillId="13" borderId="21" xfId="0" applyFont="1" applyFill="1" applyBorder="1" applyAlignment="1">
      <alignment horizontal="left" indent="1"/>
    </xf>
    <xf numFmtId="43" fontId="15" fillId="13" borderId="4" xfId="9" applyFont="1" applyFill="1" applyBorder="1" applyAlignment="1">
      <alignment horizontal="right" indent="1"/>
    </xf>
    <xf numFmtId="0" fontId="15" fillId="9" borderId="21" xfId="0" applyFont="1" applyFill="1" applyBorder="1" applyAlignment="1">
      <alignment horizontal="left"/>
    </xf>
    <xf numFmtId="43" fontId="12" fillId="9" borderId="4" xfId="9" applyFont="1" applyFill="1" applyBorder="1" applyAlignment="1">
      <alignment horizontal="right" indent="1"/>
    </xf>
    <xf numFmtId="0" fontId="15" fillId="9" borderId="21" xfId="0" applyFont="1" applyFill="1" applyBorder="1"/>
    <xf numFmtId="0" fontId="15" fillId="9" borderId="22" xfId="0" applyFont="1" applyFill="1" applyBorder="1" applyAlignment="1">
      <alignment vertical="center" wrapText="1"/>
    </xf>
    <xf numFmtId="0" fontId="15" fillId="8" borderId="21" xfId="0" applyFont="1" applyFill="1" applyBorder="1" applyAlignment="1">
      <alignment horizontal="left" indent="1"/>
    </xf>
    <xf numFmtId="43" fontId="15" fillId="8" borderId="4" xfId="9" applyFont="1" applyFill="1" applyBorder="1" applyAlignment="1">
      <alignment horizontal="right" indent="1"/>
    </xf>
    <xf numFmtId="0" fontId="12" fillId="0" borderId="0" xfId="0" applyFont="1" applyAlignment="1">
      <alignment horizontal="left" indent="1"/>
    </xf>
    <xf numFmtId="43" fontId="12" fillId="0" borderId="1" xfId="9" applyFont="1" applyAlignment="1">
      <alignment horizontal="right" indent="1"/>
    </xf>
    <xf numFmtId="0" fontId="12" fillId="0" borderId="0" xfId="0" applyFont="1"/>
    <xf numFmtId="43" fontId="12" fillId="0" borderId="1" xfId="9" applyFont="1" applyAlignment="1">
      <alignment horizontal="right"/>
    </xf>
    <xf numFmtId="165" fontId="12" fillId="0" borderId="0" xfId="0" applyNumberFormat="1" applyFont="1"/>
    <xf numFmtId="0" fontId="12" fillId="0" borderId="0" xfId="0" applyFont="1" applyAlignment="1">
      <alignment horizontal="center" vertical="center"/>
    </xf>
    <xf numFmtId="0" fontId="15" fillId="15" borderId="15" xfId="0" applyFont="1" applyFill="1" applyBorder="1" applyAlignment="1">
      <alignment horizontal="left" vertical="center" indent="1"/>
    </xf>
    <xf numFmtId="43" fontId="15" fillId="15" borderId="18" xfId="9" applyFont="1" applyFill="1" applyBorder="1" applyAlignment="1">
      <alignment horizontal="right" vertical="center" indent="1"/>
    </xf>
    <xf numFmtId="165" fontId="15" fillId="15" borderId="18" xfId="12" applyFont="1" applyFill="1" applyBorder="1" applyAlignment="1">
      <alignment vertical="center"/>
    </xf>
    <xf numFmtId="165" fontId="15" fillId="15" borderId="19" xfId="12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5" fillId="9" borderId="20" xfId="0" applyFont="1" applyFill="1" applyBorder="1" applyAlignment="1">
      <alignment horizontal="left" indent="1"/>
    </xf>
    <xf numFmtId="43" fontId="15" fillId="9" borderId="7" xfId="9" applyFont="1" applyFill="1" applyBorder="1" applyAlignment="1">
      <alignment horizontal="right" indent="1"/>
    </xf>
    <xf numFmtId="0" fontId="15" fillId="16" borderId="23" xfId="0" applyFont="1" applyFill="1" applyBorder="1" applyAlignment="1">
      <alignment horizontal="left" vertical="center" indent="1"/>
    </xf>
    <xf numFmtId="43" fontId="15" fillId="16" borderId="24" xfId="9" applyFont="1" applyFill="1" applyBorder="1" applyAlignment="1">
      <alignment horizontal="right" vertical="center" indent="1"/>
    </xf>
    <xf numFmtId="0" fontId="12" fillId="0" borderId="1" xfId="0" applyFont="1" applyBorder="1"/>
    <xf numFmtId="0" fontId="11" fillId="18" borderId="4" xfId="0" applyFont="1" applyFill="1" applyBorder="1" applyAlignment="1">
      <alignment horizontal="center" vertical="center"/>
    </xf>
    <xf numFmtId="43" fontId="15" fillId="9" borderId="38" xfId="9" applyFont="1" applyFill="1" applyBorder="1" applyAlignment="1">
      <alignment horizontal="right" indent="1"/>
    </xf>
    <xf numFmtId="43" fontId="15" fillId="13" borderId="25" xfId="9" applyFont="1" applyFill="1" applyBorder="1" applyAlignment="1">
      <alignment horizontal="right" indent="1"/>
    </xf>
    <xf numFmtId="43" fontId="12" fillId="9" borderId="25" xfId="9" applyFont="1" applyFill="1" applyBorder="1" applyAlignment="1">
      <alignment horizontal="right" indent="1"/>
    </xf>
    <xf numFmtId="43" fontId="15" fillId="16" borderId="40" xfId="9" applyFont="1" applyFill="1" applyBorder="1" applyAlignment="1">
      <alignment horizontal="right" vertical="center" indent="1"/>
    </xf>
    <xf numFmtId="43" fontId="15" fillId="8" borderId="25" xfId="9" applyFont="1" applyFill="1" applyBorder="1" applyAlignment="1">
      <alignment horizontal="right" indent="1"/>
    </xf>
    <xf numFmtId="0" fontId="15" fillId="8" borderId="22" xfId="0" applyFont="1" applyFill="1" applyBorder="1" applyAlignment="1">
      <alignment horizontal="left" wrapText="1" indent="1"/>
    </xf>
    <xf numFmtId="0" fontId="15" fillId="17" borderId="42" xfId="0" applyFont="1" applyFill="1" applyBorder="1" applyAlignment="1">
      <alignment horizontal="left" vertical="center" indent="1"/>
    </xf>
    <xf numFmtId="43" fontId="15" fillId="17" borderId="42" xfId="9" applyFont="1" applyFill="1" applyBorder="1" applyAlignment="1">
      <alignment horizontal="right" vertical="center" indent="1"/>
    </xf>
    <xf numFmtId="43" fontId="15" fillId="17" borderId="9" xfId="9" applyFont="1" applyFill="1" applyBorder="1" applyAlignment="1">
      <alignment horizontal="right" vertical="center" indent="1"/>
    </xf>
    <xf numFmtId="0" fontId="12" fillId="19" borderId="21" xfId="0" applyFont="1" applyFill="1" applyBorder="1" applyAlignment="1">
      <alignment horizontal="left" indent="1"/>
    </xf>
    <xf numFmtId="0" fontId="12" fillId="19" borderId="26" xfId="0" applyFont="1" applyFill="1" applyBorder="1" applyAlignment="1">
      <alignment horizontal="left" indent="1"/>
    </xf>
    <xf numFmtId="0" fontId="12" fillId="19" borderId="28" xfId="0" applyFont="1" applyFill="1" applyBorder="1" applyAlignment="1">
      <alignment horizontal="left" indent="1"/>
    </xf>
    <xf numFmtId="0" fontId="12" fillId="19" borderId="29" xfId="0" applyFont="1" applyFill="1" applyBorder="1" applyAlignment="1">
      <alignment horizontal="left" indent="1"/>
    </xf>
    <xf numFmtId="0" fontId="12" fillId="19" borderId="30" xfId="0" applyFont="1" applyFill="1" applyBorder="1" applyAlignment="1">
      <alignment horizontal="left" indent="1"/>
    </xf>
    <xf numFmtId="0" fontId="12" fillId="19" borderId="31" xfId="0" applyFont="1" applyFill="1" applyBorder="1" applyAlignment="1">
      <alignment horizontal="left" indent="1"/>
    </xf>
    <xf numFmtId="43" fontId="12" fillId="0" borderId="27" xfId="2" applyFont="1" applyFill="1" applyBorder="1" applyAlignment="1">
      <alignment horizontal="right" indent="1"/>
    </xf>
    <xf numFmtId="43" fontId="12" fillId="3" borderId="27" xfId="2" applyFont="1" applyFill="1" applyBorder="1"/>
    <xf numFmtId="43" fontId="12" fillId="3" borderId="26" xfId="2" applyFont="1" applyFill="1" applyBorder="1"/>
    <xf numFmtId="43" fontId="12" fillId="0" borderId="28" xfId="2" applyFont="1" applyFill="1" applyBorder="1" applyAlignment="1">
      <alignment horizontal="right" indent="1"/>
    </xf>
    <xf numFmtId="43" fontId="12" fillId="3" borderId="28" xfId="2" applyFont="1" applyFill="1" applyBorder="1"/>
    <xf numFmtId="43" fontId="12" fillId="0" borderId="29" xfId="2" applyFont="1" applyFill="1" applyBorder="1" applyAlignment="1">
      <alignment horizontal="right" indent="1"/>
    </xf>
    <xf numFmtId="43" fontId="12" fillId="3" borderId="29" xfId="2" applyFont="1" applyFill="1" applyBorder="1"/>
    <xf numFmtId="43" fontId="12" fillId="3" borderId="41" xfId="2" applyFont="1" applyFill="1" applyBorder="1"/>
    <xf numFmtId="43" fontId="12" fillId="0" borderId="4" xfId="9" applyFont="1" applyBorder="1" applyAlignment="1" applyProtection="1">
      <alignment horizontal="right" indent="1"/>
      <protection locked="0"/>
    </xf>
    <xf numFmtId="43" fontId="15" fillId="3" borderId="4" xfId="9" applyFont="1" applyFill="1" applyBorder="1" applyAlignment="1" applyProtection="1">
      <alignment horizontal="right" indent="1"/>
      <protection locked="0"/>
    </xf>
    <xf numFmtId="43" fontId="15" fillId="3" borderId="25" xfId="2" applyFont="1" applyFill="1" applyBorder="1" applyAlignment="1" applyProtection="1">
      <alignment horizontal="right" indent="1"/>
      <protection locked="0"/>
    </xf>
    <xf numFmtId="43" fontId="12" fillId="3" borderId="6" xfId="9" applyFont="1" applyFill="1" applyBorder="1" applyAlignment="1" applyProtection="1">
      <alignment horizontal="right" wrapText="1" indent="1"/>
      <protection locked="0"/>
    </xf>
    <xf numFmtId="43" fontId="12" fillId="3" borderId="39" xfId="9" applyFont="1" applyFill="1" applyBorder="1" applyAlignment="1" applyProtection="1">
      <alignment horizontal="right" wrapText="1" indent="1"/>
      <protection locked="0"/>
    </xf>
    <xf numFmtId="43" fontId="12" fillId="0" borderId="25" xfId="9" applyFont="1" applyBorder="1" applyAlignment="1" applyProtection="1">
      <alignment horizontal="right" indent="1"/>
      <protection locked="0"/>
    </xf>
    <xf numFmtId="43" fontId="12" fillId="0" borderId="4" xfId="2" applyFont="1" applyBorder="1" applyAlignment="1" applyProtection="1">
      <alignment horizontal="left" indent="1"/>
      <protection locked="0"/>
    </xf>
    <xf numFmtId="43" fontId="12" fillId="0" borderId="25" xfId="2" applyFont="1" applyBorder="1" applyAlignment="1" applyProtection="1">
      <alignment horizontal="left" indent="1"/>
      <protection locked="0"/>
    </xf>
    <xf numFmtId="43" fontId="12" fillId="0" borderId="4" xfId="2" applyFont="1" applyBorder="1" applyAlignment="1" applyProtection="1">
      <alignment horizontal="right" indent="1"/>
      <protection locked="0"/>
    </xf>
    <xf numFmtId="43" fontId="15" fillId="3" borderId="4" xfId="2" applyFont="1" applyFill="1" applyBorder="1" applyAlignment="1" applyProtection="1">
      <alignment horizontal="right" indent="1"/>
      <protection locked="0"/>
    </xf>
    <xf numFmtId="43" fontId="15" fillId="3" borderId="6" xfId="2" applyFont="1" applyFill="1" applyBorder="1" applyAlignment="1" applyProtection="1">
      <alignment horizontal="right" indent="1"/>
      <protection locked="0"/>
    </xf>
    <xf numFmtId="43" fontId="15" fillId="3" borderId="39" xfId="2" applyFont="1" applyFill="1" applyBorder="1" applyAlignment="1" applyProtection="1">
      <alignment horizontal="right" indent="1"/>
      <protection locked="0"/>
    </xf>
    <xf numFmtId="43" fontId="12" fillId="8" borderId="4" xfId="9" applyFont="1" applyFill="1" applyBorder="1" applyAlignment="1">
      <alignment horizontal="right" indent="1"/>
    </xf>
    <xf numFmtId="43" fontId="15" fillId="3" borderId="25" xfId="9" applyFont="1" applyFill="1" applyBorder="1" applyAlignment="1" applyProtection="1">
      <alignment horizontal="right" indent="1"/>
      <protection locked="0"/>
    </xf>
    <xf numFmtId="43" fontId="12" fillId="8" borderId="25" xfId="9" applyFont="1" applyFill="1" applyBorder="1" applyAlignment="1">
      <alignment horizontal="right" indent="1"/>
    </xf>
    <xf numFmtId="43" fontId="12" fillId="0" borderId="25" xfId="2" applyFont="1" applyBorder="1" applyAlignment="1" applyProtection="1">
      <alignment horizontal="right" indent="1"/>
      <protection locked="0"/>
    </xf>
    <xf numFmtId="43" fontId="12" fillId="0" borderId="4" xfId="9" applyFont="1" applyFill="1" applyBorder="1" applyAlignment="1" applyProtection="1">
      <alignment horizontal="right" indent="1"/>
      <protection locked="0"/>
    </xf>
    <xf numFmtId="43" fontId="12" fillId="0" borderId="25" xfId="9" applyFont="1" applyFill="1" applyBorder="1" applyAlignment="1" applyProtection="1">
      <alignment horizontal="right" indent="1"/>
      <protection locked="0"/>
    </xf>
    <xf numFmtId="0" fontId="15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vertical="center"/>
    </xf>
    <xf numFmtId="0" fontId="13" fillId="10" borderId="1" xfId="0" applyFont="1" applyFill="1" applyBorder="1" applyAlignment="1">
      <alignment vertical="center"/>
    </xf>
    <xf numFmtId="0" fontId="10" fillId="10" borderId="9" xfId="0" applyFont="1" applyFill="1" applyBorder="1" applyAlignment="1" applyProtection="1">
      <alignment horizontal="center" vertical="center"/>
      <protection locked="0"/>
    </xf>
    <xf numFmtId="0" fontId="10" fillId="10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43" fontId="11" fillId="4" borderId="4" xfId="9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43" fontId="14" fillId="0" borderId="1" xfId="9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2" fillId="3" borderId="0" xfId="0" applyFont="1" applyFill="1" applyAlignment="1">
      <alignment vertical="center"/>
    </xf>
    <xf numFmtId="0" fontId="15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/>
    </xf>
    <xf numFmtId="166" fontId="11" fillId="3" borderId="1" xfId="3" applyFont="1" applyFill="1" applyAlignment="1">
      <alignment vertical="center" wrapText="1"/>
    </xf>
    <xf numFmtId="166" fontId="21" fillId="3" borderId="1" xfId="3" applyFont="1" applyFill="1" applyAlignment="1">
      <alignment horizontal="center" vertical="center" wrapText="1"/>
    </xf>
    <xf numFmtId="166" fontId="21" fillId="0" borderId="1" xfId="3" applyFont="1" applyAlignment="1">
      <alignment horizontal="left" vertical="center" wrapText="1"/>
    </xf>
    <xf numFmtId="0" fontId="12" fillId="3" borderId="0" xfId="0" applyFont="1" applyFill="1"/>
    <xf numFmtId="166" fontId="11" fillId="5" borderId="11" xfId="0" applyNumberFormat="1" applyFont="1" applyFill="1" applyBorder="1" applyAlignment="1">
      <alignment horizontal="left" vertical="center" wrapText="1"/>
    </xf>
    <xf numFmtId="43" fontId="11" fillId="4" borderId="8" xfId="9" applyFont="1" applyFill="1" applyBorder="1" applyAlignment="1" applyProtection="1">
      <alignment horizontal="right" vertical="center"/>
    </xf>
    <xf numFmtId="0" fontId="15" fillId="3" borderId="0" xfId="0" applyFont="1" applyFill="1"/>
    <xf numFmtId="0" fontId="15" fillId="0" borderId="0" xfId="0" applyFont="1"/>
    <xf numFmtId="43" fontId="12" fillId="9" borderId="4" xfId="9" applyFont="1" applyFill="1" applyBorder="1" applyAlignment="1" applyProtection="1">
      <alignment vertical="center" wrapText="1"/>
    </xf>
    <xf numFmtId="0" fontId="16" fillId="9" borderId="10" xfId="5" applyFont="1" applyFill="1" applyBorder="1" applyAlignment="1">
      <alignment horizontal="left" vertical="center" indent="2"/>
    </xf>
    <xf numFmtId="0" fontId="22" fillId="0" borderId="10" xfId="5" applyFont="1" applyBorder="1" applyAlignment="1">
      <alignment horizontal="left" vertical="center" indent="4"/>
    </xf>
    <xf numFmtId="43" fontId="12" fillId="0" borderId="4" xfId="9" applyFont="1" applyFill="1" applyBorder="1" applyAlignment="1" applyProtection="1">
      <alignment vertical="center" wrapText="1"/>
      <protection locked="0"/>
    </xf>
    <xf numFmtId="43" fontId="12" fillId="3" borderId="1" xfId="9" applyFont="1" applyFill="1" applyBorder="1" applyAlignment="1" applyProtection="1">
      <alignment vertical="center" wrapText="1"/>
    </xf>
    <xf numFmtId="0" fontId="12" fillId="0" borderId="10" xfId="5" applyFont="1" applyBorder="1" applyAlignment="1">
      <alignment horizontal="left" vertical="center" indent="3"/>
    </xf>
    <xf numFmtId="166" fontId="21" fillId="3" borderId="1" xfId="3" applyFont="1" applyFill="1" applyAlignment="1">
      <alignment horizontal="left" vertical="center" wrapText="1"/>
    </xf>
    <xf numFmtId="43" fontId="12" fillId="3" borderId="1" xfId="9" applyFont="1" applyFill="1" applyProtection="1"/>
    <xf numFmtId="0" fontId="15" fillId="9" borderId="4" xfId="5" applyFont="1" applyFill="1" applyBorder="1" applyAlignment="1">
      <alignment horizontal="left" vertical="center"/>
    </xf>
    <xf numFmtId="43" fontId="12" fillId="9" borderId="4" xfId="9" applyFont="1" applyFill="1" applyBorder="1" applyAlignment="1" applyProtection="1">
      <alignment vertical="center" wrapText="1"/>
      <protection locked="0"/>
    </xf>
    <xf numFmtId="166" fontId="21" fillId="0" borderId="1" xfId="3" applyFont="1" applyAlignment="1">
      <alignment horizontal="center" vertical="center" wrapText="1"/>
    </xf>
    <xf numFmtId="0" fontId="11" fillId="20" borderId="10" xfId="5" applyFont="1" applyFill="1" applyBorder="1" applyAlignment="1">
      <alignment vertical="center"/>
    </xf>
    <xf numFmtId="43" fontId="23" fillId="20" borderId="4" xfId="9" applyFont="1" applyFill="1" applyBorder="1" applyAlignment="1" applyProtection="1">
      <alignment vertical="center" wrapText="1"/>
    </xf>
    <xf numFmtId="0" fontId="12" fillId="13" borderId="10" xfId="5" applyFont="1" applyFill="1" applyBorder="1" applyAlignment="1">
      <alignment horizontal="left" vertical="center" indent="3"/>
    </xf>
    <xf numFmtId="43" fontId="12" fillId="13" borderId="4" xfId="9" applyFont="1" applyFill="1" applyBorder="1" applyAlignment="1" applyProtection="1">
      <alignment vertical="center" wrapText="1"/>
    </xf>
    <xf numFmtId="0" fontId="15" fillId="21" borderId="10" xfId="5" applyFont="1" applyFill="1" applyBorder="1" applyAlignment="1">
      <alignment horizontal="left" vertical="center" indent="1"/>
    </xf>
    <xf numFmtId="43" fontId="12" fillId="21" borderId="4" xfId="9" applyFont="1" applyFill="1" applyBorder="1" applyAlignment="1" applyProtection="1">
      <alignment vertical="center" wrapText="1"/>
    </xf>
    <xf numFmtId="43" fontId="12" fillId="22" borderId="4" xfId="9" applyFont="1" applyFill="1" applyBorder="1" applyAlignment="1" applyProtection="1">
      <alignment vertical="center" wrapText="1"/>
      <protection locked="0"/>
    </xf>
    <xf numFmtId="0" fontId="15" fillId="22" borderId="10" xfId="5" applyFont="1" applyFill="1" applyBorder="1" applyAlignment="1">
      <alignment horizontal="left" vertical="center" indent="1"/>
    </xf>
    <xf numFmtId="0" fontId="20" fillId="13" borderId="4" xfId="5" applyFont="1" applyFill="1" applyBorder="1" applyAlignment="1">
      <alignment vertical="center"/>
    </xf>
    <xf numFmtId="43" fontId="20" fillId="13" borderId="4" xfId="9" applyFont="1" applyFill="1" applyBorder="1" applyAlignment="1" applyProtection="1">
      <alignment vertical="center"/>
    </xf>
    <xf numFmtId="43" fontId="17" fillId="13" borderId="4" xfId="9" applyFont="1" applyFill="1" applyBorder="1" applyAlignment="1" applyProtection="1">
      <alignment horizontal="center" vertical="center"/>
    </xf>
    <xf numFmtId="43" fontId="17" fillId="13" borderId="5" xfId="9" applyFont="1" applyFill="1" applyBorder="1" applyAlignment="1" applyProtection="1">
      <alignment horizontal="center" vertical="center"/>
    </xf>
    <xf numFmtId="43" fontId="18" fillId="13" borderId="4" xfId="9" applyFont="1" applyFill="1" applyBorder="1" applyAlignment="1" applyProtection="1">
      <alignment horizontal="left" vertical="center" wrapText="1"/>
    </xf>
    <xf numFmtId="43" fontId="17" fillId="0" borderId="4" xfId="9" applyFont="1" applyFill="1" applyBorder="1" applyAlignment="1" applyProtection="1">
      <alignment horizontal="center" vertical="center"/>
    </xf>
    <xf numFmtId="43" fontId="17" fillId="0" borderId="5" xfId="9" applyFont="1" applyFill="1" applyBorder="1" applyAlignment="1" applyProtection="1">
      <alignment horizontal="center" vertical="center"/>
    </xf>
    <xf numFmtId="43" fontId="11" fillId="4" borderId="5" xfId="9" applyFont="1" applyFill="1" applyBorder="1" applyAlignment="1" applyProtection="1">
      <alignment horizontal="left" vertical="center" wrapText="1"/>
    </xf>
    <xf numFmtId="43" fontId="11" fillId="4" borderId="5" xfId="9" applyFont="1" applyFill="1" applyBorder="1" applyAlignment="1" applyProtection="1">
      <alignment horizontal="center" vertical="center" wrapText="1"/>
    </xf>
    <xf numFmtId="43" fontId="18" fillId="13" borderId="4" xfId="9" applyFont="1" applyFill="1" applyBorder="1" applyAlignment="1" applyProtection="1">
      <alignment horizontal="center" vertical="center"/>
    </xf>
    <xf numFmtId="43" fontId="18" fillId="13" borderId="4" xfId="9" applyFont="1" applyFill="1" applyBorder="1" applyAlignment="1" applyProtection="1">
      <alignment horizontal="left" vertical="center"/>
    </xf>
    <xf numFmtId="43" fontId="11" fillId="4" borderId="4" xfId="9" applyFont="1" applyFill="1" applyBorder="1" applyAlignment="1" applyProtection="1">
      <alignment horizontal="center" vertical="center"/>
    </xf>
    <xf numFmtId="43" fontId="15" fillId="13" borderId="4" xfId="9" applyFont="1" applyFill="1" applyBorder="1" applyAlignment="1" applyProtection="1">
      <alignment vertical="center" wrapText="1"/>
    </xf>
    <xf numFmtId="43" fontId="12" fillId="13" borderId="4" xfId="9" applyFont="1" applyFill="1" applyBorder="1" applyAlignment="1" applyProtection="1">
      <alignment horizontal="left" vertical="center" wrapText="1"/>
    </xf>
    <xf numFmtId="43" fontId="18" fillId="3" borderId="4" xfId="9" applyFont="1" applyFill="1" applyBorder="1" applyAlignment="1" applyProtection="1">
      <alignment horizontal="center" vertical="center"/>
    </xf>
    <xf numFmtId="43" fontId="18" fillId="0" borderId="4" xfId="9" applyFont="1" applyFill="1" applyBorder="1" applyAlignment="1" applyProtection="1">
      <alignment horizontal="center" vertical="center"/>
    </xf>
    <xf numFmtId="43" fontId="12" fillId="0" borderId="1" xfId="9" applyFont="1" applyFill="1" applyProtection="1"/>
    <xf numFmtId="166" fontId="21" fillId="2" borderId="4" xfId="3" applyFont="1" applyFill="1" applyBorder="1" applyAlignment="1">
      <alignment horizontal="left" vertical="center" wrapText="1"/>
    </xf>
    <xf numFmtId="166" fontId="11" fillId="3" borderId="1" xfId="3" applyFont="1" applyFill="1" applyAlignment="1">
      <alignment horizontal="center" vertical="center" wrapText="1"/>
    </xf>
    <xf numFmtId="43" fontId="11" fillId="3" borderId="1" xfId="9" applyFont="1" applyFill="1" applyBorder="1" applyAlignment="1" applyProtection="1">
      <alignment horizontal="right" vertical="center"/>
    </xf>
    <xf numFmtId="43" fontId="17" fillId="3" borderId="1" xfId="9" applyFont="1" applyFill="1" applyBorder="1" applyAlignment="1" applyProtection="1">
      <alignment horizontal="right" vertical="center"/>
    </xf>
    <xf numFmtId="166" fontId="17" fillId="3" borderId="1" xfId="3" applyFont="1" applyFill="1" applyAlignment="1">
      <alignment horizontal="center" vertical="center" wrapText="1"/>
    </xf>
    <xf numFmtId="0" fontId="12" fillId="3" borderId="0" xfId="0" applyFont="1" applyFill="1" applyAlignment="1">
      <alignment wrapText="1"/>
    </xf>
    <xf numFmtId="0" fontId="12" fillId="0" borderId="0" xfId="0" applyFont="1" applyAlignment="1">
      <alignment wrapText="1"/>
    </xf>
    <xf numFmtId="166" fontId="21" fillId="2" borderId="4" xfId="3" applyFont="1" applyFill="1" applyBorder="1" applyAlignment="1">
      <alignment vertical="center" wrapText="1"/>
    </xf>
    <xf numFmtId="166" fontId="11" fillId="5" borderId="4" xfId="3" applyFont="1" applyFill="1" applyBorder="1" applyAlignment="1">
      <alignment horizontal="center" vertical="center" wrapText="1"/>
    </xf>
    <xf numFmtId="0" fontId="18" fillId="3" borderId="0" xfId="0" applyFont="1" applyFill="1"/>
    <xf numFmtId="0" fontId="23" fillId="0" borderId="0" xfId="0" applyFont="1"/>
    <xf numFmtId="0" fontId="18" fillId="0" borderId="0" xfId="0" applyFont="1"/>
    <xf numFmtId="43" fontId="12" fillId="0" borderId="1" xfId="2" applyFont="1" applyFill="1" applyBorder="1" applyAlignment="1" applyProtection="1">
      <alignment horizontal="left" vertical="center"/>
      <protection locked="0"/>
    </xf>
    <xf numFmtId="43" fontId="12" fillId="0" borderId="1" xfId="2" applyFont="1" applyFill="1" applyBorder="1" applyAlignment="1" applyProtection="1">
      <alignment vertical="center"/>
      <protection locked="0"/>
    </xf>
    <xf numFmtId="43" fontId="12" fillId="0" borderId="1" xfId="9" applyFont="1" applyFill="1" applyBorder="1" applyAlignment="1" applyProtection="1">
      <alignment vertical="center"/>
      <protection locked="0"/>
    </xf>
    <xf numFmtId="43" fontId="12" fillId="0" borderId="1" xfId="9" applyFont="1" applyFill="1" applyBorder="1" applyAlignment="1" applyProtection="1">
      <alignment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9" fontId="10" fillId="0" borderId="1" xfId="1" applyFont="1" applyFill="1" applyBorder="1" applyAlignment="1" applyProtection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6" fontId="21" fillId="0" borderId="1" xfId="3" applyFont="1" applyAlignment="1" applyProtection="1">
      <alignment vertical="center" wrapText="1"/>
      <protection locked="0"/>
    </xf>
    <xf numFmtId="166" fontId="21" fillId="0" borderId="1" xfId="3" applyFont="1" applyAlignment="1" applyProtection="1">
      <alignment horizontal="center" vertical="center"/>
      <protection locked="0"/>
    </xf>
    <xf numFmtId="166" fontId="21" fillId="0" borderId="1" xfId="3" applyFont="1" applyAlignment="1" applyProtection="1">
      <alignment horizontal="center" vertical="center" wrapText="1"/>
      <protection locked="0"/>
    </xf>
    <xf numFmtId="0" fontId="12" fillId="0" borderId="1" xfId="0" applyFont="1" applyBorder="1" applyProtection="1">
      <protection locked="0"/>
    </xf>
    <xf numFmtId="0" fontId="12" fillId="0" borderId="1" xfId="0" applyFont="1" applyBorder="1" applyAlignment="1" applyProtection="1">
      <alignment wrapText="1"/>
      <protection locked="0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left"/>
    </xf>
    <xf numFmtId="1" fontId="14" fillId="0" borderId="1" xfId="9" applyNumberFormat="1" applyFont="1" applyFill="1" applyBorder="1" applyAlignment="1" applyProtection="1">
      <alignment horizontal="center" vertical="center" wrapText="1"/>
    </xf>
    <xf numFmtId="9" fontId="14" fillId="0" borderId="1" xfId="10" applyFont="1" applyFill="1" applyBorder="1" applyAlignment="1" applyProtection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9" fontId="11" fillId="0" borderId="1" xfId="10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9" fontId="10" fillId="0" borderId="1" xfId="1" applyFont="1" applyFill="1" applyBorder="1" applyAlignment="1" applyProtection="1">
      <alignment horizontal="center" vertical="center"/>
      <protection locked="0"/>
    </xf>
    <xf numFmtId="14" fontId="10" fillId="0" borderId="1" xfId="0" applyNumberFormat="1" applyFont="1" applyBorder="1" applyAlignment="1" applyProtection="1">
      <alignment horizontal="center" vertical="center" wrapText="1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10" fillId="0" borderId="1" xfId="9" applyFont="1" applyFill="1" applyBorder="1" applyAlignment="1" applyProtection="1">
      <alignment horizontal="center" vertical="center"/>
      <protection locked="0"/>
    </xf>
    <xf numFmtId="49" fontId="10" fillId="0" borderId="1" xfId="0" applyNumberFormat="1" applyFont="1" applyBorder="1" applyAlignment="1" applyProtection="1">
      <alignment horizontal="center" vertical="center" wrapText="1"/>
      <protection locked="0"/>
    </xf>
    <xf numFmtId="165" fontId="10" fillId="0" borderId="1" xfId="0" applyNumberFormat="1" applyFont="1" applyBorder="1" applyAlignment="1">
      <alignment horizontal="center" vertical="center"/>
    </xf>
    <xf numFmtId="0" fontId="11" fillId="4" borderId="4" xfId="4" applyFont="1" applyFill="1" applyBorder="1" applyAlignment="1">
      <alignment horizontal="center" vertical="center" wrapText="1"/>
    </xf>
    <xf numFmtId="0" fontId="12" fillId="3" borderId="1" xfId="4" applyFont="1" applyFill="1" applyAlignment="1">
      <alignment wrapText="1"/>
    </xf>
    <xf numFmtId="0" fontId="12" fillId="0" borderId="1" xfId="4" applyFont="1" applyAlignment="1">
      <alignment wrapText="1"/>
    </xf>
    <xf numFmtId="0" fontId="12" fillId="3" borderId="1" xfId="4" applyFont="1" applyFill="1"/>
    <xf numFmtId="0" fontId="12" fillId="0" borderId="1" xfId="4" applyFont="1"/>
    <xf numFmtId="43" fontId="17" fillId="3" borderId="1" xfId="9" applyFont="1" applyFill="1" applyBorder="1" applyAlignment="1" applyProtection="1">
      <alignment horizontal="center" vertical="center" wrapText="1"/>
    </xf>
    <xf numFmtId="0" fontId="18" fillId="3" borderId="1" xfId="4" applyFont="1" applyFill="1"/>
    <xf numFmtId="43" fontId="11" fillId="3" borderId="1" xfId="9" applyFont="1" applyFill="1" applyBorder="1" applyAlignment="1" applyProtection="1">
      <alignment horizontal="center" vertical="center" wrapText="1"/>
    </xf>
    <xf numFmtId="43" fontId="12" fillId="0" borderId="1" xfId="4" applyNumberFormat="1" applyFont="1"/>
    <xf numFmtId="9" fontId="12" fillId="0" borderId="1" xfId="10" applyFont="1" applyFill="1" applyBorder="1" applyAlignment="1" applyProtection="1">
      <alignment horizontal="center" vertical="center"/>
      <protection locked="0"/>
    </xf>
    <xf numFmtId="14" fontId="10" fillId="0" borderId="1" xfId="9" applyNumberFormat="1" applyFont="1" applyFill="1" applyBorder="1" applyAlignment="1" applyProtection="1">
      <alignment horizontal="center" vertical="center" wrapText="1"/>
      <protection locked="0"/>
    </xf>
    <xf numFmtId="1" fontId="10" fillId="0" borderId="1" xfId="9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4" applyFont="1" applyAlignment="1">
      <alignment horizontal="center" vertical="center" wrapText="1"/>
    </xf>
    <xf numFmtId="0" fontId="11" fillId="0" borderId="1" xfId="4" applyFont="1" applyAlignment="1">
      <alignment horizontal="center" vertical="center" wrapText="1"/>
    </xf>
    <xf numFmtId="0" fontId="10" fillId="0" borderId="1" xfId="4" applyFont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0" fillId="0" borderId="1" xfId="4" applyFont="1" applyAlignment="1">
      <alignment horizontal="center" vertical="center" wrapText="1"/>
    </xf>
    <xf numFmtId="9" fontId="10" fillId="0" borderId="1" xfId="10" applyFont="1" applyFill="1" applyBorder="1" applyAlignment="1" applyProtection="1">
      <alignment horizontal="center" vertical="center"/>
    </xf>
    <xf numFmtId="0" fontId="14" fillId="0" borderId="1" xfId="4" applyFont="1" applyAlignment="1">
      <alignment horizontal="center" vertical="center"/>
    </xf>
    <xf numFmtId="9" fontId="10" fillId="0" borderId="1" xfId="10" applyFont="1" applyFill="1" applyBorder="1" applyAlignment="1">
      <alignment horizontal="center" vertical="center"/>
    </xf>
    <xf numFmtId="165" fontId="10" fillId="0" borderId="1" xfId="4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23" borderId="21" xfId="0" applyFont="1" applyFill="1" applyBorder="1" applyAlignment="1">
      <alignment horizontal="left" indent="1"/>
    </xf>
    <xf numFmtId="0" fontId="12" fillId="11" borderId="21" xfId="0" applyFont="1" applyFill="1" applyBorder="1" applyAlignment="1">
      <alignment horizontal="left" indent="1"/>
    </xf>
    <xf numFmtId="0" fontId="16" fillId="7" borderId="10" xfId="5" applyFont="1" applyFill="1" applyBorder="1" applyAlignment="1">
      <alignment horizontal="left" vertical="center" indent="1"/>
    </xf>
    <xf numFmtId="43" fontId="12" fillId="22" borderId="4" xfId="9" applyFont="1" applyFill="1" applyBorder="1" applyAlignment="1" applyProtection="1">
      <alignment vertical="center" wrapText="1"/>
    </xf>
    <xf numFmtId="0" fontId="10" fillId="0" borderId="0" xfId="0" applyFont="1" applyAlignment="1">
      <alignment horizontal="left"/>
    </xf>
    <xf numFmtId="168" fontId="12" fillId="0" borderId="4" xfId="9" applyNumberFormat="1" applyFont="1" applyFill="1" applyBorder="1" applyAlignment="1" applyProtection="1">
      <alignment vertical="center" wrapText="1"/>
      <protection locked="0"/>
    </xf>
    <xf numFmtId="168" fontId="11" fillId="4" borderId="4" xfId="9" applyNumberFormat="1" applyFont="1" applyFill="1" applyBorder="1" applyAlignment="1" applyProtection="1">
      <alignment horizontal="right" vertical="center"/>
    </xf>
    <xf numFmtId="168" fontId="12" fillId="2" borderId="4" xfId="9" applyNumberFormat="1" applyFont="1" applyFill="1" applyBorder="1" applyAlignment="1" applyProtection="1">
      <alignment vertical="center" wrapText="1"/>
      <protection locked="0"/>
    </xf>
    <xf numFmtId="168" fontId="11" fillId="6" borderId="4" xfId="9" applyNumberFormat="1" applyFont="1" applyFill="1" applyBorder="1" applyAlignment="1" applyProtection="1">
      <alignment horizontal="center" vertical="center" wrapText="1"/>
    </xf>
    <xf numFmtId="168" fontId="11" fillId="0" borderId="4" xfId="9" applyNumberFormat="1" applyFont="1" applyFill="1" applyBorder="1" applyAlignment="1" applyProtection="1">
      <alignment horizontal="center" vertical="center" wrapText="1"/>
    </xf>
    <xf numFmtId="43" fontId="18" fillId="0" borderId="1" xfId="18" applyFont="1" applyFill="1" applyBorder="1" applyAlignment="1">
      <alignment horizontal="center" vertical="center" wrapText="1"/>
    </xf>
    <xf numFmtId="168" fontId="18" fillId="0" borderId="1" xfId="18" applyNumberFormat="1" applyFont="1" applyFill="1" applyBorder="1" applyAlignment="1">
      <alignment horizontal="right" vertical="center" wrapText="1"/>
    </xf>
    <xf numFmtId="169" fontId="10" fillId="0" borderId="43" xfId="0" applyNumberFormat="1" applyFont="1" applyBorder="1" applyAlignment="1">
      <alignment horizontal="left"/>
    </xf>
    <xf numFmtId="169" fontId="10" fillId="0" borderId="44" xfId="0" applyNumberFormat="1" applyFont="1" applyBorder="1" applyAlignment="1">
      <alignment horizontal="left"/>
    </xf>
    <xf numFmtId="0" fontId="10" fillId="24" borderId="43" xfId="0" applyFont="1" applyFill="1" applyBorder="1" applyAlignment="1">
      <alignment horizontal="center"/>
    </xf>
    <xf numFmtId="169" fontId="10" fillId="10" borderId="9" xfId="0" applyNumberFormat="1" applyFont="1" applyFill="1" applyBorder="1" applyAlignment="1">
      <alignment horizontal="center" vertical="center"/>
    </xf>
    <xf numFmtId="0" fontId="18" fillId="0" borderId="1" xfId="17" applyFont="1" applyAlignment="1">
      <alignment horizontal="center" vertical="center" wrapText="1"/>
    </xf>
    <xf numFmtId="0" fontId="18" fillId="0" borderId="1" xfId="17" applyFont="1"/>
    <xf numFmtId="0" fontId="18" fillId="0" borderId="1" xfId="17" applyFont="1" applyAlignment="1">
      <alignment horizontal="justify" vertical="center" wrapText="1"/>
    </xf>
    <xf numFmtId="43" fontId="18" fillId="0" borderId="1" xfId="18" applyFont="1" applyFill="1" applyAlignment="1">
      <alignment horizontal="center" vertical="center" wrapText="1"/>
    </xf>
    <xf numFmtId="168" fontId="18" fillId="0" borderId="1" xfId="17" applyNumberFormat="1" applyFont="1" applyAlignment="1">
      <alignment horizontal="right" vertical="center" wrapText="1"/>
    </xf>
    <xf numFmtId="0" fontId="21" fillId="0" borderId="1" xfId="3" applyNumberFormat="1" applyFont="1" applyAlignment="1" applyProtection="1">
      <alignment vertical="center" wrapText="1"/>
      <protection locked="0"/>
    </xf>
    <xf numFmtId="43" fontId="12" fillId="0" borderId="1" xfId="2" applyFont="1" applyFill="1" applyBorder="1" applyAlignment="1" applyProtection="1">
      <alignment horizontal="center" vertical="center"/>
      <protection locked="0"/>
    </xf>
    <xf numFmtId="39" fontId="12" fillId="0" borderId="1" xfId="9" applyNumberFormat="1" applyFont="1" applyFill="1" applyBorder="1" applyAlignment="1" applyProtection="1">
      <alignment vertical="center"/>
      <protection locked="0"/>
    </xf>
    <xf numFmtId="166" fontId="18" fillId="9" borderId="5" xfId="3" applyFont="1" applyFill="1" applyBorder="1" applyAlignment="1">
      <alignment horizontal="center" vertical="center" wrapText="1"/>
    </xf>
    <xf numFmtId="166" fontId="11" fillId="4" borderId="5" xfId="3" applyFont="1" applyFill="1" applyBorder="1" applyAlignment="1">
      <alignment horizontal="center" vertical="center" wrapText="1"/>
    </xf>
    <xf numFmtId="0" fontId="23" fillId="0" borderId="1" xfId="17" applyFont="1" applyAlignment="1">
      <alignment horizontal="center" vertical="center" wrapText="1"/>
    </xf>
    <xf numFmtId="168" fontId="12" fillId="0" borderId="4" xfId="9" applyNumberFormat="1" applyFont="1" applyFill="1" applyBorder="1" applyAlignment="1" applyProtection="1">
      <alignment horizontal="right" vertical="center" wrapText="1"/>
      <protection locked="0"/>
    </xf>
    <xf numFmtId="168" fontId="11" fillId="4" borderId="4" xfId="9" applyNumberFormat="1" applyFont="1" applyFill="1" applyBorder="1" applyAlignment="1" applyProtection="1">
      <alignment horizontal="right" vertical="center" wrapText="1"/>
    </xf>
    <xf numFmtId="168" fontId="17" fillId="0" borderId="4" xfId="9" applyNumberFormat="1" applyFont="1" applyFill="1" applyBorder="1" applyAlignment="1" applyProtection="1">
      <alignment horizontal="right" vertical="center" wrapText="1"/>
    </xf>
    <xf numFmtId="168" fontId="18" fillId="0" borderId="4" xfId="9" applyNumberFormat="1" applyFont="1" applyFill="1" applyBorder="1" applyAlignment="1" applyProtection="1">
      <alignment horizontal="right" vertical="center" wrapText="1"/>
    </xf>
    <xf numFmtId="168" fontId="12" fillId="0" borderId="1" xfId="9" applyNumberFormat="1" applyFont="1" applyFill="1" applyBorder="1" applyAlignment="1" applyProtection="1">
      <alignment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168" fontId="10" fillId="0" borderId="1" xfId="2" applyNumberFormat="1" applyFont="1" applyFill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 vertical="center"/>
    </xf>
    <xf numFmtId="168" fontId="10" fillId="0" borderId="1" xfId="2" applyNumberFormat="1" applyFont="1" applyFill="1" applyBorder="1" applyAlignment="1" applyProtection="1">
      <alignment horizontal="right" vertical="center"/>
      <protection locked="0"/>
    </xf>
    <xf numFmtId="14" fontId="10" fillId="0" borderId="1" xfId="9" applyNumberFormat="1" applyFont="1" applyFill="1" applyBorder="1" applyAlignment="1" applyProtection="1">
      <alignment horizontal="right" vertical="center"/>
      <protection locked="0"/>
    </xf>
    <xf numFmtId="170" fontId="10" fillId="0" borderId="1" xfId="9" applyNumberFormat="1" applyFont="1" applyFill="1" applyBorder="1" applyAlignment="1" applyProtection="1">
      <alignment horizontal="right" vertical="center"/>
      <protection locked="0"/>
    </xf>
    <xf numFmtId="166" fontId="21" fillId="0" borderId="1" xfId="3" applyFont="1" applyAlignment="1" applyProtection="1">
      <alignment vertical="center"/>
      <protection locked="0"/>
    </xf>
    <xf numFmtId="168" fontId="11" fillId="4" borderId="4" xfId="9" applyNumberFormat="1" applyFont="1" applyFill="1" applyBorder="1" applyAlignment="1" applyProtection="1">
      <alignment vertical="center"/>
    </xf>
    <xf numFmtId="168" fontId="10" fillId="0" borderId="1" xfId="2" applyNumberFormat="1" applyFont="1" applyFill="1" applyBorder="1" applyAlignment="1" applyProtection="1">
      <alignment horizontal="right" vertical="center" wrapText="1"/>
      <protection locked="0"/>
    </xf>
    <xf numFmtId="49" fontId="10" fillId="0" borderId="1" xfId="9" applyNumberFormat="1" applyFont="1" applyFill="1" applyBorder="1" applyAlignment="1" applyProtection="1">
      <alignment horizontal="center" vertical="center"/>
      <protection locked="0"/>
    </xf>
    <xf numFmtId="0" fontId="10" fillId="0" borderId="1" xfId="9" applyNumberFormat="1" applyFont="1" applyFill="1" applyBorder="1" applyAlignment="1" applyProtection="1">
      <alignment horizontal="center" vertical="center"/>
      <protection locked="0"/>
    </xf>
    <xf numFmtId="170" fontId="10" fillId="0" borderId="1" xfId="2" applyNumberFormat="1" applyFont="1" applyFill="1" applyBorder="1" applyAlignment="1" applyProtection="1">
      <alignment horizontal="right" vertical="center" wrapText="1"/>
      <protection locked="0"/>
    </xf>
    <xf numFmtId="168" fontId="10" fillId="0" borderId="1" xfId="12" applyNumberFormat="1" applyFont="1" applyFill="1" applyBorder="1" applyAlignment="1">
      <alignment horizontal="right" vertical="center"/>
    </xf>
    <xf numFmtId="2" fontId="10" fillId="0" borderId="1" xfId="12" applyNumberFormat="1" applyFont="1" applyFill="1" applyBorder="1" applyAlignment="1">
      <alignment horizontal="right" vertical="center"/>
    </xf>
    <xf numFmtId="43" fontId="11" fillId="6" borderId="5" xfId="9" applyFont="1" applyFill="1" applyBorder="1" applyAlignment="1" applyProtection="1">
      <alignment horizontal="center" vertical="center" wrapText="1"/>
    </xf>
    <xf numFmtId="43" fontId="11" fillId="6" borderId="2" xfId="9" applyFont="1" applyFill="1" applyBorder="1" applyAlignment="1" applyProtection="1">
      <alignment horizontal="center" vertical="center" wrapText="1"/>
    </xf>
    <xf numFmtId="43" fontId="11" fillId="6" borderId="3" xfId="9" applyFont="1" applyFill="1" applyBorder="1" applyAlignment="1" applyProtection="1">
      <alignment horizontal="center" vertical="center" wrapText="1"/>
    </xf>
    <xf numFmtId="166" fontId="11" fillId="12" borderId="4" xfId="3" applyFont="1" applyFill="1" applyBorder="1" applyAlignment="1">
      <alignment horizontal="left" vertical="center" wrapText="1"/>
    </xf>
    <xf numFmtId="0" fontId="15" fillId="11" borderId="4" xfId="5" applyFont="1" applyFill="1" applyBorder="1" applyAlignment="1">
      <alignment horizontal="left" vertical="center" wrapText="1"/>
    </xf>
    <xf numFmtId="0" fontId="15" fillId="11" borderId="4" xfId="5" applyFont="1" applyFill="1" applyBorder="1" applyAlignment="1">
      <alignment horizontal="left" vertical="center"/>
    </xf>
    <xf numFmtId="0" fontId="12" fillId="11" borderId="4" xfId="5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 wrapText="1"/>
    </xf>
    <xf numFmtId="0" fontId="12" fillId="11" borderId="4" xfId="5" applyFont="1" applyFill="1" applyBorder="1" applyAlignment="1">
      <alignment horizontal="left" vertical="center" wrapText="1"/>
    </xf>
    <xf numFmtId="0" fontId="12" fillId="11" borderId="5" xfId="5" applyFont="1" applyFill="1" applyBorder="1" applyAlignment="1">
      <alignment horizontal="left" vertical="center" wrapText="1"/>
    </xf>
    <xf numFmtId="0" fontId="12" fillId="11" borderId="2" xfId="5" applyFont="1" applyFill="1" applyBorder="1" applyAlignment="1">
      <alignment horizontal="left" vertical="center" wrapText="1"/>
    </xf>
    <xf numFmtId="0" fontId="12" fillId="11" borderId="3" xfId="5" applyFont="1" applyFill="1" applyBorder="1" applyAlignment="1">
      <alignment horizontal="left" vertical="center" wrapText="1"/>
    </xf>
    <xf numFmtId="0" fontId="20" fillId="11" borderId="4" xfId="5" applyFont="1" applyFill="1" applyBorder="1" applyAlignment="1">
      <alignment horizontal="left" vertical="center"/>
    </xf>
    <xf numFmtId="0" fontId="19" fillId="4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6" borderId="4" xfId="5" applyFont="1" applyFill="1" applyBorder="1" applyAlignment="1">
      <alignment horizontal="center" vertical="center" wrapText="1"/>
    </xf>
    <xf numFmtId="0" fontId="16" fillId="11" borderId="4" xfId="5" applyFont="1" applyFill="1" applyBorder="1" applyAlignment="1">
      <alignment horizontal="left" vertical="center"/>
    </xf>
    <xf numFmtId="166" fontId="11" fillId="5" borderId="4" xfId="3" applyFont="1" applyFill="1" applyBorder="1" applyAlignment="1">
      <alignment horizontal="center" vertical="center" wrapText="1"/>
    </xf>
    <xf numFmtId="166" fontId="21" fillId="2" borderId="4" xfId="3" applyFont="1" applyFill="1" applyBorder="1" applyAlignment="1">
      <alignment horizontal="left" vertical="center" wrapText="1"/>
    </xf>
    <xf numFmtId="166" fontId="18" fillId="9" borderId="5" xfId="3" applyFont="1" applyFill="1" applyBorder="1" applyAlignment="1">
      <alignment horizontal="center" vertical="center" wrapText="1"/>
    </xf>
    <xf numFmtId="166" fontId="18" fillId="9" borderId="3" xfId="3" applyFont="1" applyFill="1" applyBorder="1" applyAlignment="1">
      <alignment horizontal="center" vertical="center" wrapText="1"/>
    </xf>
    <xf numFmtId="166" fontId="11" fillId="4" borderId="5" xfId="3" applyFont="1" applyFill="1" applyBorder="1" applyAlignment="1">
      <alignment horizontal="center" vertical="center" wrapText="1"/>
    </xf>
    <xf numFmtId="166" fontId="11" fillId="4" borderId="3" xfId="3" applyFont="1" applyFill="1" applyBorder="1" applyAlignment="1">
      <alignment horizontal="center" vertical="center" wrapText="1"/>
    </xf>
    <xf numFmtId="168" fontId="12" fillId="2" borderId="6" xfId="9" applyNumberFormat="1" applyFont="1" applyFill="1" applyBorder="1" applyAlignment="1" applyProtection="1">
      <alignment horizontal="center" vertical="center"/>
    </xf>
    <xf numFmtId="168" fontId="12" fillId="2" borderId="7" xfId="9" applyNumberFormat="1" applyFont="1" applyFill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horizontal="center" vertical="center" wrapText="1"/>
      <protection locked="0"/>
    </xf>
    <xf numFmtId="43" fontId="12" fillId="0" borderId="32" xfId="9" applyFont="1" applyBorder="1" applyAlignment="1" applyProtection="1">
      <alignment horizontal="center"/>
      <protection locked="0"/>
    </xf>
    <xf numFmtId="43" fontId="12" fillId="0" borderId="33" xfId="9" applyFont="1" applyBorder="1" applyAlignment="1" applyProtection="1">
      <alignment horizontal="center"/>
      <protection locked="0"/>
    </xf>
    <xf numFmtId="43" fontId="12" fillId="0" borderId="34" xfId="9" applyFont="1" applyBorder="1" applyAlignment="1" applyProtection="1">
      <alignment horizontal="center"/>
      <protection locked="0"/>
    </xf>
    <xf numFmtId="43" fontId="12" fillId="0" borderId="35" xfId="9" applyFont="1" applyBorder="1" applyAlignment="1" applyProtection="1">
      <alignment horizontal="center"/>
      <protection locked="0"/>
    </xf>
    <xf numFmtId="43" fontId="12" fillId="0" borderId="36" xfId="9" applyFont="1" applyBorder="1" applyAlignment="1" applyProtection="1">
      <alignment horizontal="center"/>
      <protection locked="0"/>
    </xf>
    <xf numFmtId="43" fontId="12" fillId="0" borderId="37" xfId="9" applyFont="1" applyBorder="1" applyAlignment="1" applyProtection="1">
      <alignment horizontal="center"/>
      <protection locked="0"/>
    </xf>
    <xf numFmtId="0" fontId="11" fillId="14" borderId="12" xfId="0" applyFont="1" applyFill="1" applyBorder="1" applyAlignment="1">
      <alignment horizontal="center" vertical="center"/>
    </xf>
    <xf numFmtId="0" fontId="11" fillId="14" borderId="15" xfId="0" applyFont="1" applyFill="1" applyBorder="1" applyAlignment="1">
      <alignment horizontal="center" vertical="center"/>
    </xf>
    <xf numFmtId="43" fontId="11" fillId="14" borderId="13" xfId="9" applyFont="1" applyFill="1" applyBorder="1" applyAlignment="1">
      <alignment horizontal="center" vertical="center" wrapText="1"/>
    </xf>
    <xf numFmtId="43" fontId="11" fillId="14" borderId="16" xfId="9" applyFont="1" applyFill="1" applyBorder="1" applyAlignment="1">
      <alignment horizontal="center" vertical="center" wrapText="1"/>
    </xf>
    <xf numFmtId="0" fontId="11" fillId="14" borderId="13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168" fontId="10" fillId="0" borderId="1" xfId="9" applyNumberFormat="1" applyFont="1" applyFill="1" applyBorder="1" applyAlignment="1">
      <alignment horizontal="right" vertical="center"/>
    </xf>
  </cellXfs>
  <cellStyles count="19">
    <cellStyle name="Millares" xfId="2" builtinId="3"/>
    <cellStyle name="Millares [0] 2" xfId="14" xr:uid="{00000000-0005-0000-0000-000001000000}"/>
    <cellStyle name="Millares 10" xfId="7" xr:uid="{00000000-0005-0000-0000-000002000000}"/>
    <cellStyle name="Millares 2" xfId="6" xr:uid="{00000000-0005-0000-0000-000003000000}"/>
    <cellStyle name="Millares 2 2" xfId="15" xr:uid="{00000000-0005-0000-0000-000004000000}"/>
    <cellStyle name="Millares 3" xfId="9" xr:uid="{00000000-0005-0000-0000-000005000000}"/>
    <cellStyle name="Millares 4" xfId="16" xr:uid="{00000000-0005-0000-0000-000006000000}"/>
    <cellStyle name="Millares 5" xfId="18" xr:uid="{EB26E4AD-7A15-4FBE-A4E4-DA5A29388A12}"/>
    <cellStyle name="Moneda" xfId="12" builtinId="4"/>
    <cellStyle name="Moneda 2" xfId="11" xr:uid="{00000000-0005-0000-0000-000008000000}"/>
    <cellStyle name="Normal" xfId="0" builtinId="0"/>
    <cellStyle name="Normal 2" xfId="4" xr:uid="{00000000-0005-0000-0000-00000A000000}"/>
    <cellStyle name="Normal 3" xfId="5" xr:uid="{00000000-0005-0000-0000-00000B000000}"/>
    <cellStyle name="Normal 3 3" xfId="8" xr:uid="{00000000-0005-0000-0000-00000C000000}"/>
    <cellStyle name="Normal 4" xfId="13" xr:uid="{00000000-0005-0000-0000-00000D000000}"/>
    <cellStyle name="Normal 5" xfId="17" xr:uid="{5447B940-61EF-46DE-9A8D-A210E1D8DD69}"/>
    <cellStyle name="Normal_Hoja1" xfId="3" xr:uid="{00000000-0005-0000-0000-00000E000000}"/>
    <cellStyle name="Porcentaje" xfId="1" builtinId="5"/>
    <cellStyle name="Porcentaje 2" xfId="10" xr:uid="{00000000-0005-0000-0000-000010000000}"/>
  </cellStyles>
  <dxfs count="3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68" formatCode="#,##0.00_ ;\-#,##0.0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70" formatCode="#,##0_ ;\-#,##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70" formatCode="#,##0_ ;\-#,##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70" formatCode="#,##0_ ;\-#,##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70" formatCode="#,##0_ ;\-#,##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70" formatCode="#,##0_ ;\-#,##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70" formatCode="#,##0_ ;\-#,##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70" formatCode="#,##0_ ;\-#,##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70" formatCode="#,##0_ ;\-#,##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68" formatCode="#,##0.00_ ;\-#,##0.00\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numFmt numFmtId="168" formatCode="#,##0.00_ ;\-#,##0.0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70" formatCode="#,##0_ ;\-#,##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70" formatCode="#,##0_ ;\-#,##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9" formatCode="d/m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68" formatCode="#,##0.00_ ;\-#,##0.0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Arial Narrow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9" formatCode="d/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68" formatCode="#,##0.00_ ;\-#,##0.0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numFmt numFmtId="168" formatCode="#,##0.00_ ;\-#,##0.0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168" formatCode="#,##0.00_ ;\-#,##0.00\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4F81BD"/>
          <bgColor rgb="FF4F81BD"/>
        </patternFill>
      </fill>
    </dxf>
  </dxfs>
  <tableStyles count="4">
    <tableStyle name="AUX_3-style" pivot="0" count="3" xr9:uid="{00000000-0011-0000-FFFF-FFFF00000000}">
      <tableStyleElement type="headerRow" dxfId="359"/>
      <tableStyleElement type="firstRowStripe" dxfId="358"/>
      <tableStyleElement type="secondRowStripe" dxfId="357"/>
    </tableStyle>
    <tableStyle name="Estilo de tabla dinámica 2" table="0" count="1" xr9:uid="{00000000-0011-0000-FFFF-FFFF01000000}">
      <tableStyleElement type="wholeTable" dxfId="356"/>
    </tableStyle>
    <tableStyle name="Estilo de tabla dinámica 2 2" table="0" count="1" xr9:uid="{00000000-0011-0000-FFFF-FFFF02000000}">
      <tableStyleElement type="wholeTable" dxfId="355"/>
    </tableStyle>
    <tableStyle name="Invisible" pivot="0" table="0" count="0" xr9:uid="{00000000-0011-0000-FFFF-FFFF03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E02278-8F25-4971-8434-3EDDB50CCE39}" name="distribuidoras" displayName="distribuidoras" ref="A1:A23" totalsRowShown="0" headerRowDxfId="354" dataDxfId="353">
  <autoFilter ref="A1:A23" xr:uid="{30E02278-8F25-4971-8434-3EDDB50CCE39}"/>
  <tableColumns count="1">
    <tableColumn id="1" xr3:uid="{93EAEA13-B70D-485C-BCCB-0D7E1EE41D91}" name="distribuidoras" dataDxfId="35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90421C-4DB0-4E47-AC4C-1533C69F0BCF}" name="rubros_spee" displayName="rubros_spee" ref="C1:C6" totalsRowShown="0" headerRowDxfId="351" dataDxfId="350">
  <autoFilter ref="C1:C6" xr:uid="{5490421C-4DB0-4E47-AC4C-1533C69F0BCF}"/>
  <tableColumns count="1">
    <tableColumn id="1" xr3:uid="{6A64E920-4538-48AE-912A-C945CA85FA21}" name="rubros_spee" dataDxfId="34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21A4E5-510A-41F5-ADEF-DBD7755EFBE2}" name="etapas_funcionales_spee" displayName="etapas_funcionales_spee" ref="G1:G6" totalsRowShown="0" headerRowDxfId="348" dataDxfId="347">
  <autoFilter ref="G1:G6" xr:uid="{0721A4E5-510A-41F5-ADEF-DBD7755EFBE2}"/>
  <tableColumns count="1">
    <tableColumn id="1" xr3:uid="{ADA2A556-55C9-44FF-A71D-CE3A0578A1FE}" name="etapas_funcionales_spee" dataDxfId="34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AB207C-3CD3-4653-9985-0A2F1F6E4C81}" name="tipo_gasto" displayName="tipo_gasto" ref="K1:K4" totalsRowShown="0" headerRowDxfId="345" dataDxfId="344">
  <autoFilter ref="K1:K4" xr:uid="{BCAB207C-3CD3-4653-9985-0A2F1F6E4C81}"/>
  <tableColumns count="1">
    <tableColumn id="1" xr3:uid="{F1826AF5-3822-41F6-AF36-9CBD2F5C9474}" name="tipo_gasto" dataDxfId="34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53EDDB-D4EA-4B0C-A533-D4A25DCCD026}" name="grupo_gasto" displayName="grupo_gasto" ref="M1:M5" totalsRowShown="0" headerRowDxfId="342" dataDxfId="341">
  <autoFilter ref="M1:M5" xr:uid="{1853EDDB-D4EA-4B0C-A533-D4A25DCCD026}"/>
  <tableColumns count="1">
    <tableColumn id="1" xr3:uid="{A0166C35-DDA4-4F0F-AD3B-B662128583BC}" name="grupo_gasto" dataDxfId="34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CC5D27-A2EF-4377-B609-325D292338F4}" name="sub_etapas_funcionales_spee" displayName="sub_etapas_funcionales_spee" ref="I1:I8" totalsRowShown="0" headerRowDxfId="339" dataDxfId="338">
  <autoFilter ref="I1:I8" xr:uid="{0ECC5D27-A2EF-4377-B609-325D292338F4}"/>
  <tableColumns count="1">
    <tableColumn id="1" xr3:uid="{9CBF3163-8779-471C-ADC4-8B079602B876}" name="sub_etapas_funcionales_spee" dataDxfId="337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1657828-35EC-4813-A3EF-6A652C09A845}" name="fuentes_financiamiento" displayName="fuentes_financiamiento" ref="O1:O25" totalsRowShown="0" headerRowDxfId="336" dataDxfId="335">
  <autoFilter ref="O1:O25" xr:uid="{E1657828-35EC-4813-A3EF-6A652C09A845}"/>
  <tableColumns count="1">
    <tableColumn id="1" xr3:uid="{1919883A-7685-46DA-ABED-7B331245D886}" name="fuente" dataDxfId="33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BCC6E5-C474-4F2A-B536-D25BD444F915}" name="servicios" displayName="servicios" ref="Q1:Q4" totalsRowShown="0" headerRowDxfId="333" dataDxfId="332">
  <autoFilter ref="Q1:Q4" xr:uid="{35BCC6E5-C474-4F2A-B536-D25BD444F915}"/>
  <tableColumns count="1">
    <tableColumn id="1" xr3:uid="{3CC5295C-7AB6-4A53-90B8-82DBD02896B1}" name="servicios" dataDxfId="331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820AD3A-3152-4FF6-863E-49C4DF343404}" name="fechas" displayName="fechas" ref="S1:T10" totalsRowShown="0" headerRowDxfId="330" dataDxfId="329">
  <autoFilter ref="S1:T10" xr:uid="{F820AD3A-3152-4FF6-863E-49C4DF343404}"/>
  <tableColumns count="2">
    <tableColumn id="1" xr3:uid="{47EDB553-FFD7-465C-B261-DD5F20AB01E7}" name="fecha_corte" dataDxfId="328"/>
    <tableColumn id="2" xr3:uid="{6C3BBECE-2269-4AA0-BCAF-1D8046D2259E}" name="fecha_entrega" dataDxfId="327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6D7E077-BD4D-47A1-BE94-309D608DB594}" name="tipo_proyecto" displayName="tipo_proyecto" ref="V1:V5" totalsRowShown="0" headerRowDxfId="326" dataDxfId="325">
  <autoFilter ref="V1:V5" xr:uid="{16D7E077-BD4D-47A1-BE94-309D608DB594}"/>
  <tableColumns count="1">
    <tableColumn id="1" xr3:uid="{DCD7C68D-CD10-43F6-9C91-34FD904173B0}" name="tipo_proyecto" dataDxfId="324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9FF61E7-9191-48D7-AC60-58949B63B62C}" name="estado_proyecto" displayName="estado_proyecto" ref="X1:X5" totalsRowShown="0" headerRowDxfId="323" dataDxfId="322">
  <autoFilter ref="X1:X5" xr:uid="{29FF61E7-9191-48D7-AC60-58949B63B62C}"/>
  <tableColumns count="1">
    <tableColumn id="1" xr3:uid="{6D0BD420-4B98-4F3A-BB76-4E2AC08BCC5C}" name="estado_proyecto" dataDxfId="321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295CF6B-622B-41C0-BC5C-BFBA6A8358FC}" name="etapa_ejecucion_proyecto" displayName="etapa_ejecucion_proyecto" ref="Z1:Z10" totalsRowShown="0" headerRowDxfId="320" dataDxfId="319">
  <autoFilter ref="Z1:Z10" xr:uid="{A295CF6B-622B-41C0-BC5C-BFBA6A8358FC}"/>
  <tableColumns count="1">
    <tableColumn id="1" xr3:uid="{05F8F346-7B79-4BF3-8988-B2DD541DAFB3}" name="etapa_ejecucion_proyecto" dataDxfId="318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B75625A-9596-4136-A723-916C908B6DDC}" name="tipo_permiso_ambiental" displayName="tipo_permiso_ambiental" ref="AB1:AB5" totalsRowShown="0" headerRowDxfId="317" dataDxfId="316">
  <autoFilter ref="AB1:AB5" xr:uid="{BB75625A-9596-4136-A723-916C908B6DDC}"/>
  <tableColumns count="1">
    <tableColumn id="1" xr3:uid="{6BC7D31C-79F3-4B8C-8A3A-B68CD3E14781}" name="tipo_permiso_ambiental" dataDxfId="315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71D1DD2-180F-4D11-A6CB-E3E8874EAE58}" name="rubros_sapg" displayName="rubros_sapg" ref="E1:E3" totalsRowShown="0" headerRowDxfId="314" dataDxfId="313">
  <autoFilter ref="E1:E3" xr:uid="{C71D1DD2-180F-4D11-A6CB-E3E8874EAE58}"/>
  <tableColumns count="1">
    <tableColumn id="1" xr3:uid="{D63AE43E-C1C4-4A7E-BC65-A08AB9EE7AB0}" name="rubros_sapg" dataDxfId="312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746F439-A22A-444F-B0B6-5F694F234A45}" name="recursos_aprobados" displayName="recursos_aprobados" ref="A1:G181" totalsRowShown="0" headerRowDxfId="311" dataDxfId="310" totalsRowDxfId="309">
  <autoFilter ref="A1:G181" xr:uid="{B29282E3-DD2B-4CBB-A93F-E78E377405D9}"/>
  <tableColumns count="7">
    <tableColumn id="1" xr3:uid="{BA3920DD-04DA-4465-9F1B-51C707891E85}" name="distribuidora" dataDxfId="308" totalsRowDxfId="307"/>
    <tableColumn id="2" xr3:uid="{CA898933-B596-481A-9CE7-A6DF53D809B4}" name="año" dataDxfId="306" totalsRowDxfId="305"/>
    <tableColumn id="3" xr3:uid="{40C5A3A6-CC18-46C4-BD16-AB3D60C067AE}" name="servicio" dataDxfId="304" totalsRowDxfId="303"/>
    <tableColumn id="4" xr3:uid="{BF4C3A31-282E-4D9C-8E43-CDA0FA14E5EC}" name="etapa_funcional" dataDxfId="302" totalsRowDxfId="301"/>
    <tableColumn id="7" xr3:uid="{CCFA093F-9ED0-45C3-8A6F-7E2FF9C29B6C}" name="sub_etapa_funcional" dataDxfId="300" totalsRowDxfId="299" dataCellStyle="Millares 5"/>
    <tableColumn id="5" xr3:uid="{8EEE0C61-E8C8-4331-AC54-CBDD8CB349FC}" name="rubro" dataDxfId="298" totalsRowDxfId="297"/>
    <tableColumn id="6" xr3:uid="{E0BC1C39-FDD2-4B25-99F5-DD6B9FF97193}" name="monto_aprobado" dataDxfId="296" totalsRowDxfId="295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_AOMC" displayName="Detalle_AOMC" ref="A1:M2" totalsRowShown="0" headerRowDxfId="294" dataDxfId="293" dataCellStyle="Millares 3">
  <autoFilter ref="A1:M2" xr:uid="{00000000-0009-0000-0100-000001000000}"/>
  <tableColumns count="13">
    <tableColumn id="1" xr3:uid="{00000000-0010-0000-0000-000001000000}" name="distribuidora" dataDxfId="292" dataCellStyle="Normal_Hoja1"/>
    <tableColumn id="2" xr3:uid="{00000000-0010-0000-0000-000002000000}" name="nro_partida" dataDxfId="291" dataCellStyle="Normal_Hoja1"/>
    <tableColumn id="3" xr3:uid="{00000000-0010-0000-0000-000003000000}" name="descripcion_partida" dataDxfId="290" dataCellStyle="Normal_Hoja1"/>
    <tableColumn id="4" xr3:uid="{00000000-0010-0000-0000-000004000000}" name="etapa_funcional" dataDxfId="289" dataCellStyle="Normal_Hoja1"/>
    <tableColumn id="5" xr3:uid="{00000000-0010-0000-0000-000005000000}" name="tipo_gasto" dataDxfId="288" dataCellStyle="Millares"/>
    <tableColumn id="6" xr3:uid="{00000000-0010-0000-0000-000006000000}" name="grupo_gasto" dataDxfId="287" dataCellStyle="Millares"/>
    <tableColumn id="7" xr3:uid="{00000000-0010-0000-0000-000007000000}" name="asignacion_inicial" dataDxfId="286" dataCellStyle="Millares 3"/>
    <tableColumn id="8" xr3:uid="{00000000-0010-0000-0000-000008000000}" name="reformas" dataDxfId="285" dataCellStyle="Millares 3"/>
    <tableColumn id="9" xr3:uid="{00000000-0010-0000-0000-000009000000}" name="presupuesto_codificado" dataDxfId="284" dataCellStyle="Millares 3"/>
    <tableColumn id="10" xr3:uid="{00000000-0010-0000-0000-00000A000000}" name="pre_compromiso" dataDxfId="283" dataCellStyle="Millares 3"/>
    <tableColumn id="11" xr3:uid="{00000000-0010-0000-0000-00000B000000}" name="compromiso" dataDxfId="282" dataCellStyle="Millares 3"/>
    <tableColumn id="12" xr3:uid="{00000000-0010-0000-0000-00000C000000}" name="devengado" dataDxfId="281" dataCellStyle="Millares 3"/>
    <tableColumn id="13" xr3:uid="{00000000-0010-0000-0000-00000D000000}" name="pagado" dataDxfId="280" dataCellStyle="Millares 3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ualidad_SPEE" displayName="Anualidad_SPEE" ref="A1:BP2" totalsRowShown="0" headerRowDxfId="279" dataDxfId="278">
  <autoFilter ref="A1:BP2" xr:uid="{00000000-0009-0000-0100-000002000000}"/>
  <tableColumns count="68">
    <tableColumn id="1" xr3:uid="{00000000-0010-0000-0100-000001000000}" name="distribuidora" dataDxfId="277" dataCellStyle="Normal_Hoja1"/>
    <tableColumn id="2" xr3:uid="{00000000-0010-0000-0100-000002000000}" name="proyecto_arrastre" dataDxfId="276"/>
    <tableColumn id="3" xr3:uid="{00000000-0010-0000-0100-000003000000}" name="proyecto_calificado_ecostos" dataDxfId="275"/>
    <tableColumn id="4" xr3:uid="{00000000-0010-0000-0100-000004000000}" name="anio_calificacion" dataDxfId="274"/>
    <tableColumn id="5" xr3:uid="{00000000-0010-0000-0100-000005000000}" name="codigo_ecostos" dataDxfId="273"/>
    <tableColumn id="6" xr3:uid="{00000000-0010-0000-0100-000006000000}" name="rubro_arrastre" dataDxfId="272"/>
    <tableColumn id="7" xr3:uid="{00000000-0010-0000-0100-000007000000}" name="codigo_proyecto_eed" dataDxfId="271"/>
    <tableColumn id="8" xr3:uid="{00000000-0010-0000-0100-000008000000}" name="nombre_proyecto" dataDxfId="270"/>
    <tableColumn id="9" xr3:uid="{00000000-0010-0000-0100-000009000000}" name="objeto_proyecto" dataDxfId="269"/>
    <tableColumn id="10" xr3:uid="{00000000-0010-0000-0100-00000A000000}" name="provincia" dataDxfId="268"/>
    <tableColumn id="11" xr3:uid="{00000000-0010-0000-0100-00000B000000}" name="canton" dataDxfId="267"/>
    <tableColumn id="12" xr3:uid="{00000000-0010-0000-0100-00000C000000}" name="parroquia" dataDxfId="266"/>
    <tableColumn id="67" xr3:uid="{00000000-0010-0000-0100-000043000000}" name="aso_transmisión" dataDxfId="265"/>
    <tableColumn id="13" xr3:uid="{00000000-0010-0000-0100-00000D000000}" name="etapa_funcional" dataDxfId="264" dataCellStyle="Normal_Hoja1"/>
    <tableColumn id="14" xr3:uid="{00000000-0010-0000-0100-00000E000000}" name="tipo_de_proyecto" dataDxfId="263"/>
    <tableColumn id="15" xr3:uid="{00000000-0010-0000-0100-00000F000000}" name="estado_proyecto" dataDxfId="262"/>
    <tableColumn id="16" xr3:uid="{00000000-0010-0000-0100-000010000000}" name="etapa_ejecucion_proyecto" dataDxfId="261"/>
    <tableColumn id="17" xr3:uid="{00000000-0010-0000-0100-000011000000}" name="avance_ejecucion_fisica" dataDxfId="260" dataCellStyle="Porcentaje"/>
    <tableColumn id="18" xr3:uid="{00000000-0010-0000-0100-000012000000}" name="avance_ejecucion_total" dataDxfId="259"/>
    <tableColumn id="19" xr3:uid="{00000000-0010-0000-0100-000013000000}" name="fecha_inicio_proyecto" dataDxfId="258"/>
    <tableColumn id="20" xr3:uid="{00000000-0010-0000-0100-000014000000}" name="fecha_pro_fin_proyecto" dataDxfId="257"/>
    <tableColumn id="21" xr3:uid="{00000000-0010-0000-0100-000015000000}" name="fecha_fin_proyecto" dataDxfId="256"/>
    <tableColumn id="22" xr3:uid="{00000000-0010-0000-0100-000016000000}" name="monto_calificado" dataDxfId="255" dataCellStyle="Millares"/>
    <tableColumn id="23" xr3:uid="{00000000-0010-0000-0100-000017000000}" name="presupuesto_codificado_arrastre" dataDxfId="254" dataCellStyle="Millares"/>
    <tableColumn id="24" xr3:uid="{00000000-0010-0000-0100-000018000000}" name="devengado_arrastre" dataDxfId="253" dataCellStyle="Millares"/>
    <tableColumn id="25" xr3:uid="{00000000-0010-0000-0100-000019000000}" name="pagado_arrastre" dataDxfId="252" dataCellStyle="Millares"/>
    <tableColumn id="26" xr3:uid="{00000000-0010-0000-0100-00001A000000}" name="asignacion_inicial" dataDxfId="251" dataCellStyle="Millares"/>
    <tableColumn id="27" xr3:uid="{00000000-0010-0000-0100-00001B000000}" name="reformas" dataDxfId="250" dataCellStyle="Millares"/>
    <tableColumn id="28" xr3:uid="{00000000-0010-0000-0100-00001C000000}" name="presupuesto_codificado" dataDxfId="249" dataCellStyle="Millares"/>
    <tableColumn id="29" xr3:uid="{00000000-0010-0000-0100-00001D000000}" name="pre_compromiso" dataDxfId="248" dataCellStyle="Millares"/>
    <tableColumn id="30" xr3:uid="{00000000-0010-0000-0100-00001E000000}" name="compromiso" dataDxfId="247" dataCellStyle="Millares"/>
    <tableColumn id="31" xr3:uid="{00000000-0010-0000-0100-00001F000000}" name="devengado" dataDxfId="246" dataCellStyle="Millares"/>
    <tableColumn id="32" xr3:uid="{00000000-0010-0000-0100-000020000000}" name="pagado" dataDxfId="245" dataCellStyle="Millares"/>
    <tableColumn id="33" xr3:uid="{00000000-0010-0000-0100-000021000000}" name="anticipo_no_amortizado" dataDxfId="244" dataCellStyle="Millares"/>
    <tableColumn id="34" xr3:uid="{00000000-0010-0000-0100-000022000000}" name="bd_planificado" dataDxfId="243" dataCellStyle="Millares"/>
    <tableColumn id="35" xr3:uid="{00000000-0010-0000-0100-000023000000}" name="bd_ejecutado" dataDxfId="242" dataCellStyle="Millares"/>
    <tableColumn id="36" xr3:uid="{00000000-0010-0000-0100-000024000000}" name="vcs_planificado" dataDxfId="241" dataCellStyle="Millares"/>
    <tableColumn id="37" xr3:uid="{00000000-0010-0000-0100-000025000000}" name="vcs_ejecutado" dataDxfId="240" dataCellStyle="Millares"/>
    <tableColumn id="38" xr3:uid="{00000000-0010-0000-0100-000026000000}" name="vss_planificado" dataDxfId="239" dataCellStyle="Millares"/>
    <tableColumn id="39" xr3:uid="{00000000-0010-0000-0100-000027000000}" name="vss_ejecutado" dataDxfId="238" dataCellStyle="Millares"/>
    <tableColumn id="40" xr3:uid="{00000000-0010-0000-0100-000028000000}" name="tv_planificado" dataDxfId="237" dataCellStyle="Millares"/>
    <tableColumn id="41" xr3:uid="{00000000-0010-0000-0100-000029000000}" name="tv_ejecutado" dataDxfId="236" dataCellStyle="Millares"/>
    <tableColumn id="42" xr3:uid="{00000000-0010-0000-0100-00002A000000}" name="ln_planificado" dataDxfId="235" dataCellStyle="Millares"/>
    <tableColumn id="43" xr3:uid="{00000000-0010-0000-0100-00002B000000}" name="ln_ejecutado" dataDxfId="234" dataCellStyle="Millares"/>
    <tableColumn id="44" xr3:uid="{00000000-0010-0000-0100-00002C000000}" name="at_planificado" dataDxfId="233" dataCellStyle="Millares"/>
    <tableColumn id="45" xr3:uid="{00000000-0010-0000-0100-00002D000000}" name="at_ejecutado" dataDxfId="232" dataCellStyle="Millares"/>
    <tableColumn id="46" xr3:uid="{00000000-0010-0000-0100-00002E000000}" name="mt_planificado" dataDxfId="231" dataCellStyle="Millares"/>
    <tableColumn id="47" xr3:uid="{00000000-0010-0000-0100-00002F000000}" name="mt_ejecutado" dataDxfId="230" dataCellStyle="Millares"/>
    <tableColumn id="48" xr3:uid="{00000000-0010-0000-0100-000030000000}" name="bt_planificado" dataDxfId="229" dataCellStyle="Millares"/>
    <tableColumn id="49" xr3:uid="{00000000-0010-0000-0100-000031000000}" name="bt_ejecutado" dataDxfId="228" dataCellStyle="Millares"/>
    <tableColumn id="50" xr3:uid="{00000000-0010-0000-0100-000032000000}" name="am_planificado" dataDxfId="227" dataCellStyle="Millares"/>
    <tableColumn id="51" xr3:uid="{00000000-0010-0000-0100-000033000000}" name="am_ejecutado" dataDxfId="226" dataCellStyle="Millares"/>
    <tableColumn id="52" xr3:uid="{00000000-0010-0000-0100-000034000000}" name="m_planificado" dataDxfId="225" dataCellStyle="Millares"/>
    <tableColumn id="53" xr3:uid="{00000000-0010-0000-0100-000035000000}" name="m_ejecutado" dataDxfId="224" dataCellStyle="Millares"/>
    <tableColumn id="54" xr3:uid="{00000000-0010-0000-0100-000036000000}" name="td_planificado" dataDxfId="223" dataCellStyle="Millares"/>
    <tableColumn id="55" xr3:uid="{00000000-0010-0000-0100-000037000000}" name="td_ejecutado" dataDxfId="222" dataCellStyle="Millares"/>
    <tableColumn id="56" xr3:uid="{00000000-0010-0000-0100-000038000000}" name="pitd_planificado" dataDxfId="221" dataCellStyle="Millares"/>
    <tableColumn id="57" xr3:uid="{00000000-0010-0000-0100-000039000000}" name="pitd_ejecutado" dataDxfId="220" dataCellStyle="Millares"/>
    <tableColumn id="58" xr3:uid="{00000000-0010-0000-0100-00003A000000}" name="sdn_planificado" dataDxfId="219" dataCellStyle="Millares"/>
    <tableColumn id="59" xr3:uid="{00000000-0010-0000-0100-00003B000000}" name="sdn_ejecutado" dataDxfId="218" dataCellStyle="Millares"/>
    <tableColumn id="60" xr3:uid="{00000000-0010-0000-0100-00003C000000}" name="pisdn_planificado" dataDxfId="217" dataCellStyle="Millares"/>
    <tableColumn id="61" xr3:uid="{00000000-0010-0000-0100-00003D000000}" name="pisdn_ejecutado" dataDxfId="216" dataCellStyle="Millares"/>
    <tableColumn id="62" xr3:uid="{00000000-0010-0000-0100-00003E000000}" name="perm_amb" dataDxfId="215"/>
    <tableColumn id="63" xr3:uid="{00000000-0010-0000-0100-00003F000000}" name="fecha_perm_amb_planif" dataDxfId="214"/>
    <tableColumn id="64" xr3:uid="{00000000-0010-0000-0100-000040000000}" name="fecha_perm_amb_ejec" dataDxfId="213"/>
    <tableColumn id="70" xr3:uid="{00000000-0010-0000-0100-000046000000}" name="empleos_generados" dataDxfId="212"/>
    <tableColumn id="71" xr3:uid="{00000000-0010-0000-0100-000047000000}" name="nro_personal_fem" dataDxfId="211"/>
    <tableColumn id="66" xr3:uid="{00000000-0010-0000-0100-000042000000}" name="observaciones" dataDxfId="210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ansión_SPEE" displayName="Expansión_SPEE" ref="A1:BK2" totalsRowShown="0" headerRowDxfId="209" dataDxfId="207" headerRowBorderDxfId="208" tableBorderDxfId="206" totalsRowBorderDxfId="205">
  <autoFilter ref="A1:BK2" xr:uid="{00000000-0009-0000-0100-000003000000}"/>
  <tableColumns count="63">
    <tableColumn id="1" xr3:uid="{00000000-0010-0000-0200-000001000000}" name="distribuidora" dataDxfId="204" dataCellStyle="Normal_Hoja1"/>
    <tableColumn id="2" xr3:uid="{00000000-0010-0000-0200-000002000000}" name="proyecto_arrastre" dataDxfId="203"/>
    <tableColumn id="3" xr3:uid="{00000000-0010-0000-0200-000003000000}" name="anio_calificacion" dataDxfId="202"/>
    <tableColumn id="4" xr3:uid="{00000000-0010-0000-0200-000004000000}" name="codigo_proyecto_eed" dataDxfId="201"/>
    <tableColumn id="5" xr3:uid="{00000000-0010-0000-0200-000005000000}" name="nombre_proyecto" dataDxfId="200"/>
    <tableColumn id="6" xr3:uid="{00000000-0010-0000-0200-000006000000}" name="objeto_proyecto" dataDxfId="199"/>
    <tableColumn id="7" xr3:uid="{00000000-0010-0000-0200-000007000000}" name="provincia" dataDxfId="198"/>
    <tableColumn id="8" xr3:uid="{00000000-0010-0000-0200-000008000000}" name="canton" dataDxfId="197"/>
    <tableColumn id="9" xr3:uid="{00000000-0010-0000-0200-000009000000}" name="parroquia" dataDxfId="196"/>
    <tableColumn id="62" xr3:uid="{00000000-0010-0000-0200-00003E000000}" name="aso_transmisión" dataDxfId="195"/>
    <tableColumn id="10" xr3:uid="{00000000-0010-0000-0200-00000A000000}" name="etapa_funcional" dataDxfId="194"/>
    <tableColumn id="11" xr3:uid="{00000000-0010-0000-0200-00000B000000}" name="estado_proyecto" dataDxfId="193"/>
    <tableColumn id="12" xr3:uid="{00000000-0010-0000-0200-00000C000000}" name="etapa_ejecucion_proyecto" dataDxfId="192"/>
    <tableColumn id="13" xr3:uid="{00000000-0010-0000-0200-00000D000000}" name="avance_ejecucion_fisica" dataDxfId="191" dataCellStyle="Porcentaje"/>
    <tableColumn id="14" xr3:uid="{00000000-0010-0000-0200-00000E000000}" name="avance_ejecucion_total" dataDxfId="4">
      <calculatedColumnFormula>+IF($M2="No iniciado 0%",0%,IF($M2="Elaboración de pliegos 5%",5%,IF($M2="Disponibilidad de pliegos 10%",10%,IF($M2="Publicación del proceso 15%",15%,IF($M2="Resolución de adjudicación 30%",30%,IF($M2="Adjudicación y firma de contrato 40%",40%,IF($M2="En ejecución 41% - 90%",(40%+($N2*50%)),IF($M2="Acta de entrega - recepción 95%",IF($N2=100%,95%,""),IF($M2="Registro contable 100%",IF($N2=100%,100%,""),"")))))))))</calculatedColumnFormula>
    </tableColumn>
    <tableColumn id="15" xr3:uid="{00000000-0010-0000-0200-00000F000000}" name="fecha_inicio_proyecto" dataDxfId="190"/>
    <tableColumn id="16" xr3:uid="{00000000-0010-0000-0200-000010000000}" name="fecha_pro_fin_proyecto" dataDxfId="189"/>
    <tableColumn id="17" xr3:uid="{00000000-0010-0000-0200-000011000000}" name="fecha_fin_proyecto" dataDxfId="188"/>
    <tableColumn id="18" xr3:uid="{00000000-0010-0000-0200-000012000000}" name="presupuesto_codificado_arrastre" dataDxfId="187" dataCellStyle="Millares"/>
    <tableColumn id="19" xr3:uid="{00000000-0010-0000-0200-000013000000}" name="devengado_arrastre" dataDxfId="186" dataCellStyle="Millares"/>
    <tableColumn id="20" xr3:uid="{00000000-0010-0000-0200-000014000000}" name="pagado_arrastre" dataDxfId="185" dataCellStyle="Millares"/>
    <tableColumn id="21" xr3:uid="{00000000-0010-0000-0200-000015000000}" name="asignacion_inicial" dataDxfId="184" dataCellStyle="Millares"/>
    <tableColumn id="22" xr3:uid="{00000000-0010-0000-0200-000016000000}" name="reformas" dataDxfId="0" dataCellStyle="Millares 3"/>
    <tableColumn id="23" xr3:uid="{00000000-0010-0000-0200-000017000000}" name="presupuesto_codificado" dataDxfId="183" dataCellStyle="Millares"/>
    <tableColumn id="24" xr3:uid="{00000000-0010-0000-0200-000018000000}" name="pre_compromiso" dataDxfId="182" dataCellStyle="Millares"/>
    <tableColumn id="25" xr3:uid="{00000000-0010-0000-0200-000019000000}" name="compromiso" dataDxfId="181" dataCellStyle="Millares"/>
    <tableColumn id="26" xr3:uid="{00000000-0010-0000-0200-00001A000000}" name="devengado" dataDxfId="180" dataCellStyle="Millares"/>
    <tableColumn id="27" xr3:uid="{00000000-0010-0000-0200-00001B000000}" name="pagado" dataDxfId="179" dataCellStyle="Millares"/>
    <tableColumn id="28" xr3:uid="{00000000-0010-0000-0200-00001C000000}" name="anticipo_no_amortizado" dataDxfId="178" dataCellStyle="Millares"/>
    <tableColumn id="29" xr3:uid="{00000000-0010-0000-0200-00001D000000}" name="bd_planificado" dataDxfId="177" dataCellStyle="Millares"/>
    <tableColumn id="30" xr3:uid="{00000000-0010-0000-0200-00001E000000}" name="bd_ejecutado" dataDxfId="176" dataCellStyle="Millares"/>
    <tableColumn id="31" xr3:uid="{00000000-0010-0000-0200-00001F000000}" name="vcs_planificado" dataDxfId="175" dataCellStyle="Millares"/>
    <tableColumn id="32" xr3:uid="{00000000-0010-0000-0200-000020000000}" name="vcs_ejecutado" dataDxfId="174" dataCellStyle="Millares"/>
    <tableColumn id="33" xr3:uid="{00000000-0010-0000-0200-000021000000}" name="vss_planificado" dataDxfId="173" dataCellStyle="Millares"/>
    <tableColumn id="34" xr3:uid="{00000000-0010-0000-0200-000022000000}" name="vss_ejecutado" dataDxfId="172" dataCellStyle="Millares"/>
    <tableColumn id="35" xr3:uid="{00000000-0010-0000-0200-000023000000}" name="tv_planificado" dataDxfId="171" dataCellStyle="Millares"/>
    <tableColumn id="36" xr3:uid="{00000000-0010-0000-0200-000024000000}" name="tv_ejecutado" dataDxfId="170" dataCellStyle="Millares"/>
    <tableColumn id="37" xr3:uid="{00000000-0010-0000-0200-000025000000}" name="ln_planificado" dataDxfId="169" dataCellStyle="Millares"/>
    <tableColumn id="38" xr3:uid="{00000000-0010-0000-0200-000026000000}" name="ln_ejecutado" dataDxfId="168" dataCellStyle="Millares"/>
    <tableColumn id="39" xr3:uid="{00000000-0010-0000-0200-000027000000}" name="at_planificado" dataDxfId="167" dataCellStyle="Millares"/>
    <tableColumn id="40" xr3:uid="{00000000-0010-0000-0200-000028000000}" name="at_ejecutado" dataDxfId="166" dataCellStyle="Millares"/>
    <tableColumn id="41" xr3:uid="{00000000-0010-0000-0200-000029000000}" name="mt_planificado" dataDxfId="165" dataCellStyle="Millares"/>
    <tableColumn id="42" xr3:uid="{00000000-0010-0000-0200-00002A000000}" name="mt_ejecutado" dataDxfId="164" dataCellStyle="Millares"/>
    <tableColumn id="43" xr3:uid="{00000000-0010-0000-0200-00002B000000}" name="bt_planificado" dataDxfId="163" dataCellStyle="Millares"/>
    <tableColumn id="44" xr3:uid="{00000000-0010-0000-0200-00002C000000}" name="bt_ejecutado" dataDxfId="162" dataCellStyle="Millares"/>
    <tableColumn id="45" xr3:uid="{00000000-0010-0000-0200-00002D000000}" name="am_planificado" dataDxfId="161" dataCellStyle="Millares"/>
    <tableColumn id="46" xr3:uid="{00000000-0010-0000-0200-00002E000000}" name="am_ejecutado" dataDxfId="160" dataCellStyle="Millares"/>
    <tableColumn id="47" xr3:uid="{00000000-0010-0000-0200-00002F000000}" name="m_planificado" dataDxfId="159" dataCellStyle="Millares"/>
    <tableColumn id="48" xr3:uid="{00000000-0010-0000-0200-000030000000}" name="m_ejecutado" dataDxfId="158" dataCellStyle="Millares"/>
    <tableColumn id="49" xr3:uid="{00000000-0010-0000-0200-000031000000}" name="td_planificado" dataDxfId="157" dataCellStyle="Millares"/>
    <tableColumn id="50" xr3:uid="{00000000-0010-0000-0200-000032000000}" name="td_ejecutado" dataDxfId="156" dataCellStyle="Millares"/>
    <tableColumn id="51" xr3:uid="{00000000-0010-0000-0200-000033000000}" name="pitd_planificado" dataDxfId="155" dataCellStyle="Millares"/>
    <tableColumn id="52" xr3:uid="{00000000-0010-0000-0200-000034000000}" name="pitd_ejecutado" dataDxfId="154" dataCellStyle="Millares"/>
    <tableColumn id="53" xr3:uid="{00000000-0010-0000-0200-000035000000}" name="sdn_planificado" dataDxfId="153" dataCellStyle="Millares"/>
    <tableColumn id="54" xr3:uid="{00000000-0010-0000-0200-000036000000}" name="sdn_ejecutado" dataDxfId="152" dataCellStyle="Millares"/>
    <tableColumn id="55" xr3:uid="{00000000-0010-0000-0200-000037000000}" name="pisdn_planificado" dataDxfId="151" dataCellStyle="Millares"/>
    <tableColumn id="56" xr3:uid="{00000000-0010-0000-0200-000038000000}" name="pisdn_ejecutado" dataDxfId="150" dataCellStyle="Millares"/>
    <tableColumn id="57" xr3:uid="{00000000-0010-0000-0200-000039000000}" name="perm_amb" dataDxfId="149" dataCellStyle="Millares"/>
    <tableColumn id="58" xr3:uid="{00000000-0010-0000-0200-00003A000000}" name="fecha_permiso_planif" dataDxfId="148" dataCellStyle="Millares 3"/>
    <tableColumn id="59" xr3:uid="{00000000-0010-0000-0200-00003B000000}" name="fecha_permiso_ejec" dataDxfId="147" dataCellStyle="Millares 3"/>
    <tableColumn id="60" xr3:uid="{00000000-0010-0000-0200-00003C000000}" name="empleos_generados" dataDxfId="146" dataCellStyle="Millares 3"/>
    <tableColumn id="65" xr3:uid="{00000000-0010-0000-0200-000041000000}" name="nro_personal_fem" dataDxfId="145" dataCellStyle="Millares 3"/>
    <tableColumn id="61" xr3:uid="{00000000-0010-0000-0200-00003D000000}" name="observaciones" dataDxfId="144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talle_AOM" displayName="Detalle_AOM" ref="A1:L2" totalsRowShown="0" headerRowDxfId="143" dataDxfId="142" dataCellStyle="Millares 3">
  <autoFilter ref="A1:L2" xr:uid="{00000000-0009-0000-0100-000004000000}"/>
  <tableColumns count="12">
    <tableColumn id="1" xr3:uid="{00000000-0010-0000-0300-000001000000}" name="distribuidora" dataDxfId="141" dataCellStyle="Normal_Hoja1"/>
    <tableColumn id="2" xr3:uid="{00000000-0010-0000-0300-000002000000}" name="nro_partida" dataDxfId="140" dataCellStyle="Normal_Hoja1"/>
    <tableColumn id="3" xr3:uid="{00000000-0010-0000-0300-000003000000}" name="descripcion_partida" dataDxfId="139" dataCellStyle="Normal_Hoja1"/>
    <tableColumn id="5" xr3:uid="{00000000-0010-0000-0300-000005000000}" name="tipo_gasto" dataDxfId="138" dataCellStyle="Millares"/>
    <tableColumn id="6" xr3:uid="{00000000-0010-0000-0300-000006000000}" name="grupo_gasto" dataDxfId="137" dataCellStyle="Millares"/>
    <tableColumn id="7" xr3:uid="{00000000-0010-0000-0300-000007000000}" name="asignacion_inicial" dataDxfId="136" dataCellStyle="Millares 3"/>
    <tableColumn id="8" xr3:uid="{00000000-0010-0000-0300-000008000000}" name="reformas" dataDxfId="135" dataCellStyle="Millares 3"/>
    <tableColumn id="9" xr3:uid="{00000000-0010-0000-0300-000009000000}" name="presupuesto_codificado" dataDxfId="134" dataCellStyle="Millares 3"/>
    <tableColumn id="10" xr3:uid="{00000000-0010-0000-0300-00000A000000}" name="pre_compromiso" dataDxfId="133" dataCellStyle="Millares 3"/>
    <tableColumn id="11" xr3:uid="{00000000-0010-0000-0300-00000B000000}" name="compromiso" dataDxfId="132" dataCellStyle="Millares 3"/>
    <tableColumn id="12" xr3:uid="{00000000-0010-0000-0300-00000C000000}" name="devengado" dataDxfId="131" dataCellStyle="Millares 3"/>
    <tableColumn id="13" xr3:uid="{00000000-0010-0000-0300-00000D000000}" name="pagado" dataDxfId="130" dataCellStyle="Millares 3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nualidad_SAPG" displayName="Anualidad_SAPG" ref="A1:AR2" totalsRowShown="0" headerRowDxfId="129" dataDxfId="127" headerRowBorderDxfId="128" tableBorderDxfId="126" totalsRowBorderDxfId="125" headerRowCellStyle="Normal 2" dataCellStyle="Millares 3">
  <autoFilter ref="A1:AR2" xr:uid="{00000000-0009-0000-0100-000005000000}"/>
  <tableColumns count="44">
    <tableColumn id="1" xr3:uid="{00000000-0010-0000-0400-000001000000}" name="distribuidora" dataDxfId="124" dataCellStyle="Normal_Hoja1"/>
    <tableColumn id="2" xr3:uid="{00000000-0010-0000-0400-000002000000}" name="proyecto_arrastre" dataDxfId="123" dataCellStyle="Normal_Hoja1"/>
    <tableColumn id="3" xr3:uid="{00000000-0010-0000-0400-000003000000}" name="proyecto_calificado_ecostos" dataDxfId="122"/>
    <tableColumn id="4" xr3:uid="{00000000-0010-0000-0400-000004000000}" name="anio_calificacion" dataDxfId="121"/>
    <tableColumn id="5" xr3:uid="{00000000-0010-0000-0400-000005000000}" name="codigo_ecostos" dataDxfId="120"/>
    <tableColumn id="44" xr3:uid="{00000000-0010-0000-0400-00002C000000}" name="rubro_arrastre" dataDxfId="119"/>
    <tableColumn id="6" xr3:uid="{00000000-0010-0000-0400-000006000000}" name="codigo_proyecto_eed" dataDxfId="118"/>
    <tableColumn id="7" xr3:uid="{00000000-0010-0000-0400-000007000000}" name="nombre_proyecto" dataDxfId="117"/>
    <tableColumn id="8" xr3:uid="{00000000-0010-0000-0400-000008000000}" name="objeto_proyecto" dataDxfId="116"/>
    <tableColumn id="9" xr3:uid="{00000000-0010-0000-0400-000009000000}" name="provincia" dataDxfId="115"/>
    <tableColumn id="10" xr3:uid="{00000000-0010-0000-0400-00000A000000}" name="canton" dataDxfId="114"/>
    <tableColumn id="11" xr3:uid="{00000000-0010-0000-0400-00000B000000}" name="parroquia" dataDxfId="113"/>
    <tableColumn id="12" xr3:uid="{00000000-0010-0000-0400-00000C000000}" name="estado_proyecto" dataDxfId="112"/>
    <tableColumn id="13" xr3:uid="{00000000-0010-0000-0400-00000D000000}" name="etapa_ejecucion_proyecto" dataDxfId="111"/>
    <tableColumn id="14" xr3:uid="{00000000-0010-0000-0400-00000E000000}" name="avance_ejecucion_fisica" dataDxfId="110" dataCellStyle="Porcentaje 2"/>
    <tableColumn id="15" xr3:uid="{00000000-0010-0000-0400-00000F000000}" name="avance_ejecucion_total" dataDxfId="3" dataCellStyle="Porcentaje 2">
      <calculatedColumnFormula>+IF($N2="No iniciado 0%",0%,IF($O2="Elaboración de pliegos 5%",5%,IF($N2="Disponibilidad de pliegos 10%",10%,IF($N2="Publicación del proceso 15%",15%,IF($N2="Resolución de adjudicación 30%",30%,IF($N2="Adjudicación y firma de contrato 40%",40%,IF($N2="En ejecución 41% - 90%",(40%+($O2*50%)),IF($N2="Acta de entrega - recepción 95%",IF($O2=100%,95%,""),IF($N2="Registro contable 100%",IF($O2=100%,100%,""),"")))))))))</calculatedColumnFormula>
    </tableColumn>
    <tableColumn id="16" xr3:uid="{00000000-0010-0000-0400-000010000000}" name="fecha_inicio_proyecto" dataDxfId="109" dataCellStyle="Millares 3"/>
    <tableColumn id="17" xr3:uid="{00000000-0010-0000-0400-000011000000}" name="fecha_pro_fin_proyecto" dataDxfId="108" dataCellStyle="Millares 3"/>
    <tableColumn id="18" xr3:uid="{00000000-0010-0000-0400-000012000000}" name="fecha_fin_proyecto" dataDxfId="107" dataCellStyle="Millares 3"/>
    <tableColumn id="19" xr3:uid="{00000000-0010-0000-0400-000013000000}" name="monto_calificado" dataDxfId="106" dataCellStyle="Millares"/>
    <tableColumn id="20" xr3:uid="{00000000-0010-0000-0400-000014000000}" name="presupuesto_codificado_arrastre" dataDxfId="105" dataCellStyle="Millares"/>
    <tableColumn id="21" xr3:uid="{00000000-0010-0000-0400-000015000000}" name="devengado_arrastre" dataDxfId="104" dataCellStyle="Millares"/>
    <tableColumn id="22" xr3:uid="{00000000-0010-0000-0400-000016000000}" name="pagado_arrastre" dataDxfId="103" dataCellStyle="Millares"/>
    <tableColumn id="23" xr3:uid="{00000000-0010-0000-0400-000017000000}" name="asignacion_inicial" dataDxfId="102" dataCellStyle="Millares"/>
    <tableColumn id="24" xr3:uid="{00000000-0010-0000-0400-000018000000}" name="reformas" dataDxfId="101" dataCellStyle="Millares"/>
    <tableColumn id="25" xr3:uid="{00000000-0010-0000-0400-000019000000}" name="presupuesto_codificado" dataDxfId="100" dataCellStyle="Millares"/>
    <tableColumn id="26" xr3:uid="{00000000-0010-0000-0400-00001A000000}" name="pre_compromiso" dataDxfId="99" dataCellStyle="Millares"/>
    <tableColumn id="27" xr3:uid="{00000000-0010-0000-0400-00001B000000}" name="compromiso" dataDxfId="98" dataCellStyle="Millares"/>
    <tableColumn id="28" xr3:uid="{00000000-0010-0000-0400-00001C000000}" name="devengado" dataDxfId="97" dataCellStyle="Millares"/>
    <tableColumn id="29" xr3:uid="{00000000-0010-0000-0400-00001D000000}" name="pagado" dataDxfId="96" dataCellStyle="Millares"/>
    <tableColumn id="30" xr3:uid="{00000000-0010-0000-0400-00001E000000}" name="anticipo_no_amortizado" dataDxfId="95" dataCellStyle="Millares"/>
    <tableColumn id="31" xr3:uid="{00000000-0010-0000-0400-00001F000000}" name="Ln_inst_tipo" dataDxfId="94" dataCellStyle="Millares 3"/>
    <tableColumn id="32" xr3:uid="{00000000-0010-0000-0400-000020000000}" name="Ln_inst_potencia" dataDxfId="93" dataCellStyle="Millares 3"/>
    <tableColumn id="33" xr3:uid="{00000000-0010-0000-0400-000021000000}" name="Ln_inst_cantidad" dataDxfId="92" dataCellStyle="Millares"/>
    <tableColumn id="34" xr3:uid="{00000000-0010-0000-0400-000022000000}" name="Ln_reemp_tipo" dataDxfId="91" dataCellStyle="Millares 3"/>
    <tableColumn id="35" xr3:uid="{00000000-0010-0000-0400-000023000000}" name="Ln_reemp_potencia" dataDxfId="90" dataCellStyle="Millares 3"/>
    <tableColumn id="36" xr3:uid="{00000000-0010-0000-0400-000024000000}" name="Ln_reemp_cantidad" dataDxfId="89" dataCellStyle="Millares 3"/>
    <tableColumn id="37" xr3:uid="{00000000-0010-0000-0400-000025000000}" name="Lumin_inst_total" dataDxfId="88" dataCellStyle="Millares 3"/>
    <tableColumn id="38" xr3:uid="{00000000-0010-0000-0400-000026000000}" name="Postes_nuev_número" dataDxfId="87" dataCellStyle="Millares 3"/>
    <tableColumn id="39" xr3:uid="{00000000-0010-0000-0400-000027000000}" name="Postes_reemp_número" dataDxfId="86" dataCellStyle="Millares 3"/>
    <tableColumn id="40" xr3:uid="{00000000-0010-0000-0400-000028000000}" name="Benef_dir_número" dataDxfId="85" dataCellStyle="Millares 3"/>
    <tableColumn id="41" xr3:uid="{00000000-0010-0000-0400-000029000000}" name="empleos_generados" dataDxfId="84" dataCellStyle="Millares 3"/>
    <tableColumn id="46" xr3:uid="{00000000-0010-0000-0400-00002E000000}" name="nro_personal_fem" dataDxfId="83" dataCellStyle="Millares 3"/>
    <tableColumn id="42" xr3:uid="{00000000-0010-0000-0400-00002A000000}" name="observaciones" dataDxfId="82" dataCellStyle="Millares 3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pansión_SAPG" displayName="Expansión_SAPG" ref="A1:AN2" totalsRowShown="0" headerRowDxfId="81" dataDxfId="79" headerRowBorderDxfId="80" tableBorderDxfId="78" totalsRowBorderDxfId="77" headerRowCellStyle="Normal 2" dataCellStyle="Millares 3">
  <autoFilter ref="A1:AN2" xr:uid="{00000000-0009-0000-0100-000006000000}"/>
  <tableColumns count="40">
    <tableColumn id="1" xr3:uid="{00000000-0010-0000-0500-000001000000}" name="distribuidora" dataDxfId="76" dataCellStyle="Normal_Hoja1"/>
    <tableColumn id="2" xr3:uid="{00000000-0010-0000-0500-000002000000}" name="proyecto_arrastre" dataDxfId="75" dataCellStyle="Normal_Hoja1"/>
    <tableColumn id="4" xr3:uid="{00000000-0010-0000-0500-000004000000}" name="anio_calificacion" dataDxfId="74"/>
    <tableColumn id="6" xr3:uid="{00000000-0010-0000-0500-000006000000}" name="codigo_proyecto_eed" dataDxfId="73"/>
    <tableColumn id="7" xr3:uid="{00000000-0010-0000-0500-000007000000}" name="nombre_proyecto" dataDxfId="72"/>
    <tableColumn id="8" xr3:uid="{00000000-0010-0000-0500-000008000000}" name="objeto_proyecto" dataDxfId="71"/>
    <tableColumn id="9" xr3:uid="{00000000-0010-0000-0500-000009000000}" name="provincia" dataDxfId="70"/>
    <tableColumn id="10" xr3:uid="{00000000-0010-0000-0500-00000A000000}" name="canton" dataDxfId="69"/>
    <tableColumn id="11" xr3:uid="{00000000-0010-0000-0500-00000B000000}" name="parroquia" dataDxfId="68"/>
    <tableColumn id="12" xr3:uid="{00000000-0010-0000-0500-00000C000000}" name="estado_proyecto" dataDxfId="67"/>
    <tableColumn id="13" xr3:uid="{00000000-0010-0000-0500-00000D000000}" name="etapa_ejecucion_proyecto" dataDxfId="66"/>
    <tableColumn id="14" xr3:uid="{00000000-0010-0000-0500-00000E000000}" name="avance_ejecucion_fisica" dataDxfId="65" dataCellStyle="Porcentaje 2"/>
    <tableColumn id="15" xr3:uid="{00000000-0010-0000-0500-00000F000000}" name="avance_ejecucion_total" dataDxfId="2">
      <calculatedColumnFormula>+IF($K2="No iniciado 0%",0%,IF($K2="Elaboración de pliegos 5%",5%,IF($K2="Disponibilidad de pliegos 10%",10%,IF($K2="Publicación del proceso 15%",15%,IF($K2="Resolución de adjudicación 30%",30%,IF($K2="Adjudicación y firma de contrato 40%",40%,IF($K2="En ejecución 41% - 90%",(40%+($L2*50%)),IF($K2="Acta de entrega - recepción 95%",IF($L2=100%,95%,""),IF($K2="Registro contable 100%",IF($L2=100%,100%,""),"")))))))))</calculatedColumnFormula>
    </tableColumn>
    <tableColumn id="16" xr3:uid="{00000000-0010-0000-0500-000010000000}" name="fecha_inicio_proyecto" dataDxfId="64" dataCellStyle="Millares 3"/>
    <tableColumn id="17" xr3:uid="{00000000-0010-0000-0500-000011000000}" name="fecha_pro_fin_proyecto" dataDxfId="63" dataCellStyle="Millares 3"/>
    <tableColumn id="18" xr3:uid="{00000000-0010-0000-0500-000012000000}" name="fecha_fin_proyecto" dataDxfId="62"/>
    <tableColumn id="20" xr3:uid="{00000000-0010-0000-0500-000014000000}" name="presupuesto_codificado_arrastre" dataDxfId="61" dataCellStyle="Moneda"/>
    <tableColumn id="21" xr3:uid="{00000000-0010-0000-0500-000015000000}" name="devengado_arrastre" dataDxfId="60" dataCellStyle="Moneda"/>
    <tableColumn id="22" xr3:uid="{00000000-0010-0000-0500-000016000000}" name="pagado_arrastre" dataDxfId="59" dataCellStyle="Moneda"/>
    <tableColumn id="23" xr3:uid="{00000000-0010-0000-0500-000017000000}" name="asignacion_inicial" dataDxfId="58" dataCellStyle="Moneda"/>
    <tableColumn id="24" xr3:uid="{00000000-0010-0000-0500-000018000000}" name="reformas" dataDxfId="57" dataCellStyle="Moneda"/>
    <tableColumn id="25" xr3:uid="{00000000-0010-0000-0500-000019000000}" name="presupuesto_codificado" dataDxfId="56" dataCellStyle="Moneda"/>
    <tableColumn id="26" xr3:uid="{00000000-0010-0000-0500-00001A000000}" name="pre_compromiso" dataDxfId="55" dataCellStyle="Moneda"/>
    <tableColumn id="27" xr3:uid="{00000000-0010-0000-0500-00001B000000}" name="compromiso" dataDxfId="54" dataCellStyle="Moneda"/>
    <tableColumn id="28" xr3:uid="{00000000-0010-0000-0500-00001C000000}" name="devengado" dataDxfId="53" dataCellStyle="Moneda"/>
    <tableColumn id="29" xr3:uid="{00000000-0010-0000-0500-00001D000000}" name="pagado" dataDxfId="52" dataCellStyle="Moneda"/>
    <tableColumn id="30" xr3:uid="{00000000-0010-0000-0500-00001E000000}" name="anticipo_no_amortizado" dataDxfId="51" dataCellStyle="Moneda"/>
    <tableColumn id="31" xr3:uid="{00000000-0010-0000-0500-00001F000000}" name="Ln_inst_tipo" dataDxfId="50" dataCellStyle="Millares 3"/>
    <tableColumn id="32" xr3:uid="{00000000-0010-0000-0500-000020000000}" name="Ln_inst_potencia" dataDxfId="49" dataCellStyle="Millares 3"/>
    <tableColumn id="33" xr3:uid="{00000000-0010-0000-0500-000021000000}" name="Ln_inst_cantidad" dataDxfId="48" dataCellStyle="Millares 3"/>
    <tableColumn id="34" xr3:uid="{00000000-0010-0000-0500-000022000000}" name="Ln_reemp_tipo" dataDxfId="47" dataCellStyle="Millares 3"/>
    <tableColumn id="35" xr3:uid="{00000000-0010-0000-0500-000023000000}" name="Ln_reemp_potencia" dataDxfId="46" dataCellStyle="Millares 3"/>
    <tableColumn id="36" xr3:uid="{00000000-0010-0000-0500-000024000000}" name="Ln_reemp_cantidad" dataDxfId="45" dataCellStyle="Millares 3"/>
    <tableColumn id="37" xr3:uid="{00000000-0010-0000-0500-000025000000}" name="Lumin_inst_total" dataDxfId="44" dataCellStyle="Millares 3"/>
    <tableColumn id="38" xr3:uid="{00000000-0010-0000-0500-000026000000}" name="Postes_nuev_número" dataDxfId="43" dataCellStyle="Millares 3"/>
    <tableColumn id="39" xr3:uid="{00000000-0010-0000-0500-000027000000}" name="Postes_reemp_número" dataDxfId="42" dataCellStyle="Millares 3"/>
    <tableColumn id="40" xr3:uid="{00000000-0010-0000-0500-000028000000}" name="Benef_dir_número" dataDxfId="41" dataCellStyle="Millares 3"/>
    <tableColumn id="41" xr3:uid="{00000000-0010-0000-0500-000029000000}" name="empleos_generados" dataDxfId="40" dataCellStyle="Millares 3"/>
    <tableColumn id="44" xr3:uid="{00000000-0010-0000-0500-00002C000000}" name="nro_personal_fem" dataDxfId="39" dataCellStyle="Millares 3"/>
    <tableColumn id="42" xr3:uid="{00000000-0010-0000-0500-00002A000000}" name="observaciones" dataDxfId="38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6B13584-90B9-40C6-859F-42085C6D849D}" name="Expansión_SAPG14" displayName="Expansión_SAPG14" ref="A1:AC2" totalsRowShown="0" headerRowDxfId="37" dataDxfId="35" headerRowBorderDxfId="36" tableBorderDxfId="34" totalsRowBorderDxfId="33" headerRowCellStyle="Normal 2" dataCellStyle="Millares 3">
  <autoFilter ref="A1:AC2" xr:uid="{00000000-0009-0000-0100-000006000000}"/>
  <tableColumns count="29">
    <tableColumn id="1" xr3:uid="{4079842F-5FDE-4980-976B-51FA04B22345}" name="distribuidora" dataDxfId="32" dataCellStyle="Normal_Hoja1"/>
    <tableColumn id="4" xr3:uid="{71EDF401-E6D2-43C6-BCA6-AD205BCC077E}" name="fuente" dataDxfId="31"/>
    <tableColumn id="2" xr3:uid="{C5B0F89F-09A6-44A7-AA07-5F6256AE1DC5}" name="proyecto_arrastre" dataDxfId="30" dataCellStyle="Normal_Hoja1"/>
    <tableColumn id="3" xr3:uid="{9AB0F8BC-025D-4574-A017-DB0B270526E9}" name="servicio" dataDxfId="29"/>
    <tableColumn id="6" xr3:uid="{D1A9FA6C-C4BB-444B-A7A1-F4527D2F9DD4}" name="codigo_proyecto_eed" dataDxfId="28"/>
    <tableColumn id="7" xr3:uid="{64E54765-5314-4CAD-A63B-9E383C3A9573}" name="nombre_proyecto" dataDxfId="27"/>
    <tableColumn id="8" xr3:uid="{3C38D244-2998-45DB-8291-5630D39C4773}" name="objeto_proyecto" dataDxfId="26"/>
    <tableColumn id="9" xr3:uid="{A6141303-5C3D-48B9-9966-55EFE2739FBE}" name="provincia" dataDxfId="25"/>
    <tableColumn id="10" xr3:uid="{08C68E93-AFA7-4B73-9B58-8F85B3B6544D}" name="canton" dataDxfId="24"/>
    <tableColumn id="11" xr3:uid="{97760BF4-C45B-4C8F-835F-1EDB85833147}" name="parroquia" dataDxfId="23"/>
    <tableColumn id="12" xr3:uid="{D7145B13-BBAF-4645-9E9B-4FAB719B5F2C}" name="estado_proyecto" dataDxfId="22"/>
    <tableColumn id="13" xr3:uid="{7B6351B2-F92E-43A3-AD3E-A29159CDA4AD}" name="etapa_ejecucion_proyecto" dataDxfId="21"/>
    <tableColumn id="14" xr3:uid="{58CA3E44-F725-486B-8315-8BCA3F43DA55}" name="avance_ejecucion_fisica" dataDxfId="20" dataCellStyle="Porcentaje 2"/>
    <tableColumn id="15" xr3:uid="{4C42F86A-1994-41C2-9EA9-AD9345A0B24B}" name="avance_ejecucion_total" dataDxfId="1">
      <calculatedColumnFormula>+IF($L2="No iniciado 0%",0%,IF($L2="Elaboración de pliegos 5%",5%,IF($L2="Disponibilidad de pliegos 10%",10%,IF($L2="Publicación del proceso 15%",15%,IF($L2="Resolución de adjudicación 30%",30%,IF($L2="Adjudicación y firma de contrato 40%",40%,IF($L2="En ejecución 41% - 90%",(40%+($M2*50%)),IF($L2="Acta de entrega - recepción 95%",IF($M2=100%,95%,""),IF($L2="Registro contable 100%",IF($M2=100%,100%,""),"")))))))))</calculatedColumnFormula>
    </tableColumn>
    <tableColumn id="16" xr3:uid="{D17192EF-2441-48DD-BCBF-E356D434F366}" name="fecha_inicio_proyecto" dataDxfId="19" dataCellStyle="Millares 3"/>
    <tableColumn id="17" xr3:uid="{85D8B59D-8053-4403-8BB2-4D608A8ABD8A}" name="fecha_pro_fin_proyecto" dataDxfId="18" dataCellStyle="Millares 3"/>
    <tableColumn id="18" xr3:uid="{60CC09A3-5031-454C-B5EE-FDD8DD70B39A}" name="fecha_fin_proyecto" dataDxfId="17"/>
    <tableColumn id="20" xr3:uid="{12679A4D-E41A-4D2B-9ED3-05CBF3DAE896}" name="presupuesto_codificado_arrastre" dataDxfId="16" dataCellStyle="Moneda"/>
    <tableColumn id="21" xr3:uid="{2978E973-4BE9-4B59-8E90-A8EFD5922384}" name="devengado_arrastre" dataDxfId="15" dataCellStyle="Moneda"/>
    <tableColumn id="22" xr3:uid="{8104F45F-E928-4E8C-B83A-842B38500680}" name="pagado_arrastre" dataDxfId="14" dataCellStyle="Moneda"/>
    <tableColumn id="23" xr3:uid="{6EC1AE4A-1776-4987-86CC-439FA4876906}" name="asignacion_inicial" dataDxfId="13" dataCellStyle="Moneda"/>
    <tableColumn id="24" xr3:uid="{42BFC224-D2DD-40B2-9067-58B83FE49EA1}" name="reformas" dataDxfId="12" dataCellStyle="Moneda"/>
    <tableColumn id="25" xr3:uid="{104BD540-486D-4D99-9622-60FD17BEAF70}" name="presupuesto_codificado" dataDxfId="11" dataCellStyle="Moneda"/>
    <tableColumn id="26" xr3:uid="{D99C28F0-A1C6-485E-8A6B-CFB44412EABF}" name="pre_compromiso" dataDxfId="10" dataCellStyle="Moneda"/>
    <tableColumn id="27" xr3:uid="{B1120E28-9DF2-413D-A003-A53B7C85D582}" name="compromiso" dataDxfId="9" dataCellStyle="Moneda"/>
    <tableColumn id="28" xr3:uid="{EFB79F8D-05B2-4257-B0D9-D2CE3801A8CD}" name="devengado" dataDxfId="8" dataCellStyle="Moneda"/>
    <tableColumn id="29" xr3:uid="{50834D0C-CE4E-4FA4-B01D-7888717AC543}" name="pagado" dataDxfId="7" dataCellStyle="Moneda"/>
    <tableColumn id="30" xr3:uid="{8AD03585-74D1-4BB7-9BC7-CBF9DF979C1E}" name="anticipo_no_amortizado" dataDxfId="6" dataCellStyle="Moneda"/>
    <tableColumn id="42" xr3:uid="{539D98EF-E85A-4150-8939-4797D08B39D9}" name="observaciones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874D-11F8-426B-8E8D-E043D4B9B1D6}">
  <dimension ref="A1:AB26"/>
  <sheetViews>
    <sheetView showGridLines="0" topLeftCell="I1" workbookViewId="0">
      <selection activeCell="V29" sqref="V29"/>
    </sheetView>
  </sheetViews>
  <sheetFormatPr baseColWidth="10" defaultColWidth="11.5703125" defaultRowHeight="12.75" x14ac:dyDescent="0.2"/>
  <cols>
    <col min="1" max="1" width="22.7109375" style="1" bestFit="1" customWidth="1"/>
    <col min="2" max="2" width="2.5703125" style="1" customWidth="1"/>
    <col min="3" max="3" width="20" style="1" bestFit="1" customWidth="1"/>
    <col min="4" max="4" width="2.28515625" style="1" customWidth="1"/>
    <col min="5" max="5" width="20" style="1" customWidth="1"/>
    <col min="6" max="6" width="2.7109375" style="1" customWidth="1"/>
    <col min="7" max="7" width="25.140625" style="1" bestFit="1" customWidth="1"/>
    <col min="8" max="8" width="3.140625" style="1" customWidth="1"/>
    <col min="9" max="9" width="29.28515625" style="1" bestFit="1" customWidth="1"/>
    <col min="10" max="10" width="2.42578125" style="1" customWidth="1"/>
    <col min="11" max="11" width="16.7109375" style="1" bestFit="1" customWidth="1"/>
    <col min="12" max="12" width="3.140625" style="1" customWidth="1"/>
    <col min="13" max="13" width="16.7109375" style="1" bestFit="1" customWidth="1"/>
    <col min="14" max="14" width="2.7109375" style="1" customWidth="1"/>
    <col min="15" max="15" width="22.42578125" style="1" bestFit="1" customWidth="1"/>
    <col min="16" max="16" width="3.42578125" style="1" customWidth="1"/>
    <col min="17" max="17" width="11.5703125" style="1"/>
    <col min="18" max="18" width="3" style="1" customWidth="1"/>
    <col min="19" max="19" width="28" style="1" bestFit="1" customWidth="1"/>
    <col min="20" max="20" width="26.42578125" style="1" bestFit="1" customWidth="1"/>
    <col min="21" max="21" width="3.140625" style="1" customWidth="1"/>
    <col min="22" max="22" width="20" style="1" bestFit="1" customWidth="1"/>
    <col min="23" max="23" width="3.42578125" style="1" customWidth="1"/>
    <col min="24" max="24" width="16" style="1" bestFit="1" customWidth="1"/>
    <col min="25" max="25" width="3.85546875" style="1" customWidth="1"/>
    <col min="26" max="26" width="26.140625" style="1" bestFit="1" customWidth="1"/>
    <col min="27" max="27" width="3.140625" style="1" customWidth="1"/>
    <col min="28" max="28" width="21.42578125" style="1" bestFit="1" customWidth="1"/>
    <col min="29" max="16384" width="11.5703125" style="1"/>
  </cols>
  <sheetData>
    <row r="1" spans="1:28" x14ac:dyDescent="0.2">
      <c r="A1" s="200" t="s">
        <v>322</v>
      </c>
      <c r="C1" s="200" t="s">
        <v>323</v>
      </c>
      <c r="D1" s="200"/>
      <c r="E1" s="200" t="s">
        <v>352</v>
      </c>
      <c r="G1" s="201" t="s">
        <v>324</v>
      </c>
      <c r="I1" s="201" t="s">
        <v>325</v>
      </c>
      <c r="K1" s="200" t="s">
        <v>27</v>
      </c>
      <c r="M1" s="200" t="s">
        <v>28</v>
      </c>
      <c r="O1" s="200" t="s">
        <v>335</v>
      </c>
      <c r="Q1" s="201" t="s">
        <v>336</v>
      </c>
      <c r="S1" s="201" t="s">
        <v>338</v>
      </c>
      <c r="T1" s="216" t="s">
        <v>341</v>
      </c>
      <c r="V1" s="1" t="s">
        <v>349</v>
      </c>
      <c r="X1" s="1" t="s">
        <v>41</v>
      </c>
      <c r="Z1" s="1" t="s">
        <v>91</v>
      </c>
      <c r="AB1" s="1" t="s">
        <v>350</v>
      </c>
    </row>
    <row r="2" spans="1:28" x14ac:dyDescent="0.2">
      <c r="A2" s="1" t="s">
        <v>315</v>
      </c>
      <c r="C2" s="1" t="s">
        <v>0</v>
      </c>
      <c r="E2" s="1" t="s">
        <v>0</v>
      </c>
      <c r="G2" s="1" t="s">
        <v>3</v>
      </c>
      <c r="I2" s="1" t="s">
        <v>122</v>
      </c>
      <c r="K2" s="1" t="s">
        <v>8</v>
      </c>
      <c r="M2" s="1" t="s">
        <v>249</v>
      </c>
      <c r="O2" s="1" t="s">
        <v>217</v>
      </c>
      <c r="Q2" s="206" t="s">
        <v>2</v>
      </c>
      <c r="S2" s="1" t="s">
        <v>306</v>
      </c>
      <c r="T2" s="214">
        <v>46198</v>
      </c>
      <c r="V2" s="1" t="s">
        <v>271</v>
      </c>
      <c r="X2" s="1" t="s">
        <v>11</v>
      </c>
      <c r="Z2" s="1" t="s">
        <v>21</v>
      </c>
      <c r="AB2" s="1" t="s">
        <v>354</v>
      </c>
    </row>
    <row r="3" spans="1:28" x14ac:dyDescent="0.2">
      <c r="A3" s="1" t="s">
        <v>94</v>
      </c>
      <c r="C3" s="1" t="s">
        <v>13</v>
      </c>
      <c r="E3" s="1" t="s">
        <v>318</v>
      </c>
      <c r="G3" s="1" t="s">
        <v>4</v>
      </c>
      <c r="I3" s="1" t="s">
        <v>124</v>
      </c>
      <c r="K3" s="1" t="s">
        <v>9</v>
      </c>
      <c r="M3" s="1" t="s">
        <v>248</v>
      </c>
      <c r="O3" s="1" t="s">
        <v>218</v>
      </c>
      <c r="Q3" s="206" t="s">
        <v>327</v>
      </c>
      <c r="S3" s="1" t="s">
        <v>307</v>
      </c>
      <c r="T3" s="214">
        <v>46218</v>
      </c>
      <c r="V3" s="1" t="s">
        <v>272</v>
      </c>
      <c r="X3" s="1" t="s">
        <v>10</v>
      </c>
      <c r="Z3" s="1" t="s">
        <v>14</v>
      </c>
      <c r="AB3" s="1" t="s">
        <v>355</v>
      </c>
    </row>
    <row r="4" spans="1:28" x14ac:dyDescent="0.2">
      <c r="A4" s="1" t="s">
        <v>95</v>
      </c>
      <c r="C4" s="1" t="s">
        <v>316</v>
      </c>
      <c r="G4" s="1" t="s">
        <v>129</v>
      </c>
      <c r="I4" s="1" t="s">
        <v>125</v>
      </c>
      <c r="K4" s="1" t="s">
        <v>356</v>
      </c>
      <c r="M4" s="1" t="s">
        <v>23</v>
      </c>
      <c r="O4" s="1" t="s">
        <v>219</v>
      </c>
      <c r="Q4" s="206" t="s">
        <v>337</v>
      </c>
      <c r="S4" s="1" t="s">
        <v>308</v>
      </c>
      <c r="T4" s="214">
        <v>46251</v>
      </c>
      <c r="V4" s="1" t="s">
        <v>273</v>
      </c>
      <c r="X4" s="1" t="s">
        <v>7</v>
      </c>
      <c r="Z4" s="1" t="s">
        <v>15</v>
      </c>
      <c r="AB4" s="1" t="s">
        <v>297</v>
      </c>
    </row>
    <row r="5" spans="1:28" x14ac:dyDescent="0.2">
      <c r="A5" s="1" t="s">
        <v>96</v>
      </c>
      <c r="C5" s="1" t="s">
        <v>317</v>
      </c>
      <c r="G5" s="1" t="s">
        <v>6</v>
      </c>
      <c r="I5" s="1" t="s">
        <v>126</v>
      </c>
      <c r="M5" s="1" t="s">
        <v>24</v>
      </c>
      <c r="O5" s="1" t="s">
        <v>220</v>
      </c>
      <c r="S5" s="1" t="s">
        <v>309</v>
      </c>
      <c r="T5" s="214">
        <v>46280</v>
      </c>
      <c r="V5" s="1" t="s">
        <v>13</v>
      </c>
      <c r="X5" s="1" t="s">
        <v>12</v>
      </c>
      <c r="Z5" s="1" t="s">
        <v>16</v>
      </c>
      <c r="AB5" s="1" t="s">
        <v>1</v>
      </c>
    </row>
    <row r="6" spans="1:28" x14ac:dyDescent="0.2">
      <c r="A6" s="1" t="s">
        <v>97</v>
      </c>
      <c r="C6" s="1" t="s">
        <v>318</v>
      </c>
      <c r="G6" s="1" t="s">
        <v>5</v>
      </c>
      <c r="I6" s="1" t="s">
        <v>127</v>
      </c>
      <c r="O6" s="1" t="s">
        <v>221</v>
      </c>
      <c r="S6" s="1" t="s">
        <v>310</v>
      </c>
      <c r="T6" s="214">
        <v>46310</v>
      </c>
      <c r="Z6" s="1" t="s">
        <v>17</v>
      </c>
    </row>
    <row r="7" spans="1:28" x14ac:dyDescent="0.2">
      <c r="A7" s="1" t="s">
        <v>98</v>
      </c>
      <c r="I7" s="1" t="s">
        <v>128</v>
      </c>
      <c r="O7" s="1" t="s">
        <v>222</v>
      </c>
      <c r="S7" s="1" t="s">
        <v>311</v>
      </c>
      <c r="T7" s="214">
        <v>46342</v>
      </c>
      <c r="Z7" s="1" t="s">
        <v>18</v>
      </c>
    </row>
    <row r="8" spans="1:28" x14ac:dyDescent="0.2">
      <c r="A8" s="1" t="s">
        <v>99</v>
      </c>
      <c r="I8" s="1" t="s">
        <v>6</v>
      </c>
      <c r="O8" s="1" t="s">
        <v>223</v>
      </c>
      <c r="S8" s="1" t="s">
        <v>312</v>
      </c>
      <c r="T8" s="214">
        <v>46371</v>
      </c>
      <c r="Z8" s="1" t="s">
        <v>22</v>
      </c>
    </row>
    <row r="9" spans="1:28" x14ac:dyDescent="0.2">
      <c r="A9" s="1" t="s">
        <v>100</v>
      </c>
      <c r="O9" s="1" t="s">
        <v>224</v>
      </c>
      <c r="S9" s="1" t="s">
        <v>339</v>
      </c>
      <c r="T9" s="214">
        <v>46402</v>
      </c>
      <c r="Z9" s="1" t="s">
        <v>19</v>
      </c>
    </row>
    <row r="10" spans="1:28" x14ac:dyDescent="0.2">
      <c r="A10" s="1" t="s">
        <v>101</v>
      </c>
      <c r="O10" s="1" t="s">
        <v>357</v>
      </c>
      <c r="S10" s="1" t="s">
        <v>340</v>
      </c>
      <c r="T10" s="215">
        <v>46461</v>
      </c>
      <c r="Z10" s="1" t="s">
        <v>20</v>
      </c>
    </row>
    <row r="11" spans="1:28" x14ac:dyDescent="0.2">
      <c r="A11" s="1" t="s">
        <v>102</v>
      </c>
      <c r="O11" s="1" t="s">
        <v>226</v>
      </c>
    </row>
    <row r="12" spans="1:28" x14ac:dyDescent="0.2">
      <c r="A12" s="1" t="s">
        <v>103</v>
      </c>
      <c r="O12" s="1" t="s">
        <v>227</v>
      </c>
    </row>
    <row r="13" spans="1:28" x14ac:dyDescent="0.2">
      <c r="A13" s="1" t="s">
        <v>104</v>
      </c>
      <c r="O13" s="1" t="s">
        <v>228</v>
      </c>
    </row>
    <row r="14" spans="1:28" x14ac:dyDescent="0.2">
      <c r="A14" s="1" t="s">
        <v>105</v>
      </c>
      <c r="O14" s="1" t="s">
        <v>229</v>
      </c>
    </row>
    <row r="15" spans="1:28" x14ac:dyDescent="0.2">
      <c r="A15" s="1" t="s">
        <v>106</v>
      </c>
      <c r="O15" s="1" t="s">
        <v>358</v>
      </c>
    </row>
    <row r="16" spans="1:28" x14ac:dyDescent="0.2">
      <c r="A16" s="1" t="s">
        <v>107</v>
      </c>
      <c r="O16" s="1" t="s">
        <v>232</v>
      </c>
    </row>
    <row r="17" spans="1:15" x14ac:dyDescent="0.2">
      <c r="A17" s="1" t="s">
        <v>108</v>
      </c>
      <c r="O17" s="1" t="s">
        <v>233</v>
      </c>
    </row>
    <row r="18" spans="1:15" x14ac:dyDescent="0.2">
      <c r="A18" s="1" t="s">
        <v>109</v>
      </c>
      <c r="O18" s="1" t="s">
        <v>234</v>
      </c>
    </row>
    <row r="19" spans="1:15" x14ac:dyDescent="0.2">
      <c r="A19" s="1" t="s">
        <v>110</v>
      </c>
      <c r="O19" s="1" t="s">
        <v>235</v>
      </c>
    </row>
    <row r="20" spans="1:15" x14ac:dyDescent="0.2">
      <c r="A20" s="1" t="s">
        <v>111</v>
      </c>
      <c r="O20" s="1" t="s">
        <v>236</v>
      </c>
    </row>
    <row r="21" spans="1:15" x14ac:dyDescent="0.2">
      <c r="A21" s="1" t="s">
        <v>112</v>
      </c>
      <c r="O21" s="1" t="s">
        <v>237</v>
      </c>
    </row>
    <row r="22" spans="1:15" x14ac:dyDescent="0.2">
      <c r="A22" s="1" t="s">
        <v>113</v>
      </c>
      <c r="O22" s="1" t="s">
        <v>238</v>
      </c>
    </row>
    <row r="23" spans="1:15" x14ac:dyDescent="0.2">
      <c r="A23" s="1" t="s">
        <v>114</v>
      </c>
      <c r="O23" s="1" t="s">
        <v>241</v>
      </c>
    </row>
    <row r="24" spans="1:15" x14ac:dyDescent="0.2">
      <c r="O24" s="1" t="s">
        <v>359</v>
      </c>
    </row>
    <row r="25" spans="1:15" x14ac:dyDescent="0.2">
      <c r="O25" s="1" t="s">
        <v>243</v>
      </c>
    </row>
    <row r="26" spans="1:15" ht="15" x14ac:dyDescent="0.25">
      <c r="O26"/>
    </row>
  </sheetData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2BE7-DDCC-40EE-998B-646372D9DC5A}">
  <dimension ref="A1:G181"/>
  <sheetViews>
    <sheetView showGridLines="0" topLeftCell="A61" workbookViewId="0">
      <selection activeCell="A92" sqref="A92"/>
    </sheetView>
  </sheetViews>
  <sheetFormatPr baseColWidth="10" defaultColWidth="8.85546875" defaultRowHeight="13.9" customHeight="1" x14ac:dyDescent="0.2"/>
  <cols>
    <col min="1" max="1" width="22.7109375" style="219" bestFit="1" customWidth="1"/>
    <col min="2" max="2" width="8.28515625" style="219" bestFit="1" customWidth="1"/>
    <col min="3" max="3" width="11.42578125" style="219" bestFit="1" customWidth="1"/>
    <col min="4" max="4" width="25.5703125" style="219" bestFit="1" customWidth="1"/>
    <col min="5" max="5" width="25.5703125" style="219" customWidth="1"/>
    <col min="6" max="6" width="15.28515625" style="219" bestFit="1" customWidth="1"/>
    <col min="7" max="8" width="16.140625" style="219" customWidth="1"/>
    <col min="9" max="16384" width="8.85546875" style="219"/>
  </cols>
  <sheetData>
    <row r="1" spans="1:7" ht="13.9" customHeight="1" x14ac:dyDescent="0.2">
      <c r="A1" s="228" t="s">
        <v>88</v>
      </c>
      <c r="B1" s="228" t="s">
        <v>342</v>
      </c>
      <c r="C1" s="228" t="s">
        <v>326</v>
      </c>
      <c r="D1" s="228" t="s">
        <v>26</v>
      </c>
      <c r="E1" s="228" t="s">
        <v>346</v>
      </c>
      <c r="F1" s="228" t="s">
        <v>343</v>
      </c>
      <c r="G1" s="228" t="s">
        <v>344</v>
      </c>
    </row>
    <row r="2" spans="1:7" ht="13.9" customHeight="1" x14ac:dyDescent="0.2">
      <c r="A2" s="220" t="s">
        <v>95</v>
      </c>
      <c r="B2" s="218">
        <v>2026</v>
      </c>
      <c r="C2" s="218" t="s">
        <v>2</v>
      </c>
      <c r="D2" s="212" t="s">
        <v>3</v>
      </c>
      <c r="E2" s="212" t="s">
        <v>122</v>
      </c>
      <c r="F2" s="212" t="s">
        <v>93</v>
      </c>
      <c r="G2" s="213">
        <v>936346.8</v>
      </c>
    </row>
    <row r="3" spans="1:7" ht="13.9" customHeight="1" x14ac:dyDescent="0.2">
      <c r="A3" s="220" t="s">
        <v>96</v>
      </c>
      <c r="B3" s="218">
        <v>2026</v>
      </c>
      <c r="C3" s="218" t="s">
        <v>2</v>
      </c>
      <c r="D3" s="212" t="s">
        <v>3</v>
      </c>
      <c r="E3" s="212" t="s">
        <v>122</v>
      </c>
      <c r="F3" s="212" t="s">
        <v>93</v>
      </c>
      <c r="G3" s="213">
        <v>1835700.35</v>
      </c>
    </row>
    <row r="4" spans="1:7" ht="13.9" customHeight="1" x14ac:dyDescent="0.2">
      <c r="A4" s="220" t="s">
        <v>97</v>
      </c>
      <c r="B4" s="218">
        <v>2026</v>
      </c>
      <c r="C4" s="218" t="s">
        <v>2</v>
      </c>
      <c r="D4" s="212" t="s">
        <v>3</v>
      </c>
      <c r="E4" s="212" t="s">
        <v>122</v>
      </c>
      <c r="F4" s="212" t="s">
        <v>93</v>
      </c>
      <c r="G4" s="213">
        <v>2711906.47</v>
      </c>
    </row>
    <row r="5" spans="1:7" ht="13.9" customHeight="1" x14ac:dyDescent="0.2">
      <c r="A5" s="220" t="s">
        <v>98</v>
      </c>
      <c r="B5" s="218">
        <v>2026</v>
      </c>
      <c r="C5" s="218" t="s">
        <v>2</v>
      </c>
      <c r="D5" s="212" t="s">
        <v>3</v>
      </c>
      <c r="E5" s="212" t="s">
        <v>122</v>
      </c>
      <c r="F5" s="212" t="s">
        <v>93</v>
      </c>
      <c r="G5" s="213">
        <v>5356646.26</v>
      </c>
    </row>
    <row r="6" spans="1:7" ht="13.9" customHeight="1" x14ac:dyDescent="0.2">
      <c r="A6" s="220" t="s">
        <v>99</v>
      </c>
      <c r="B6" s="218">
        <v>2026</v>
      </c>
      <c r="C6" s="218" t="s">
        <v>2</v>
      </c>
      <c r="D6" s="212" t="s">
        <v>3</v>
      </c>
      <c r="E6" s="212" t="s">
        <v>122</v>
      </c>
      <c r="F6" s="212" t="s">
        <v>93</v>
      </c>
      <c r="G6" s="213">
        <v>7685263.5499999998</v>
      </c>
    </row>
    <row r="7" spans="1:7" ht="13.9" customHeight="1" x14ac:dyDescent="0.2">
      <c r="A7" s="220" t="s">
        <v>100</v>
      </c>
      <c r="B7" s="218">
        <v>2026</v>
      </c>
      <c r="C7" s="218" t="s">
        <v>2</v>
      </c>
      <c r="D7" s="212" t="s">
        <v>3</v>
      </c>
      <c r="E7" s="212" t="s">
        <v>122</v>
      </c>
      <c r="F7" s="212" t="s">
        <v>93</v>
      </c>
      <c r="G7" s="213">
        <v>1675490.27</v>
      </c>
    </row>
    <row r="8" spans="1:7" ht="13.9" customHeight="1" x14ac:dyDescent="0.2">
      <c r="A8" s="220" t="s">
        <v>101</v>
      </c>
      <c r="B8" s="218">
        <v>2026</v>
      </c>
      <c r="C8" s="218" t="s">
        <v>2</v>
      </c>
      <c r="D8" s="212" t="s">
        <v>3</v>
      </c>
      <c r="E8" s="212" t="s">
        <v>122</v>
      </c>
      <c r="F8" s="212" t="s">
        <v>93</v>
      </c>
      <c r="G8" s="213">
        <v>11266552.140000001</v>
      </c>
    </row>
    <row r="9" spans="1:7" ht="13.9" customHeight="1" x14ac:dyDescent="0.2">
      <c r="A9" s="220" t="s">
        <v>102</v>
      </c>
      <c r="B9" s="218">
        <v>2026</v>
      </c>
      <c r="C9" s="218" t="s">
        <v>2</v>
      </c>
      <c r="D9" s="212" t="s">
        <v>3</v>
      </c>
      <c r="E9" s="212" t="s">
        <v>122</v>
      </c>
      <c r="F9" s="212" t="s">
        <v>93</v>
      </c>
      <c r="G9" s="213">
        <v>2234549.73</v>
      </c>
    </row>
    <row r="10" spans="1:7" ht="13.9" customHeight="1" x14ac:dyDescent="0.2">
      <c r="A10" s="220" t="s">
        <v>103</v>
      </c>
      <c r="B10" s="218">
        <v>2026</v>
      </c>
      <c r="C10" s="218" t="s">
        <v>2</v>
      </c>
      <c r="D10" s="212" t="s">
        <v>3</v>
      </c>
      <c r="E10" s="212" t="s">
        <v>122</v>
      </c>
      <c r="F10" s="212" t="s">
        <v>93</v>
      </c>
      <c r="G10" s="213">
        <v>2641097.7200000002</v>
      </c>
    </row>
    <row r="11" spans="1:7" ht="13.9" customHeight="1" x14ac:dyDescent="0.2">
      <c r="A11" s="220" t="s">
        <v>104</v>
      </c>
      <c r="B11" s="218">
        <v>2026</v>
      </c>
      <c r="C11" s="218" t="s">
        <v>2</v>
      </c>
      <c r="D11" s="212" t="s">
        <v>3</v>
      </c>
      <c r="E11" s="212" t="s">
        <v>122</v>
      </c>
      <c r="F11" s="212" t="s">
        <v>93</v>
      </c>
      <c r="G11" s="213">
        <v>1244672.33</v>
      </c>
    </row>
    <row r="12" spans="1:7" ht="13.9" customHeight="1" x14ac:dyDescent="0.2">
      <c r="A12" s="220" t="s">
        <v>105</v>
      </c>
      <c r="B12" s="218">
        <v>2026</v>
      </c>
      <c r="C12" s="218" t="s">
        <v>2</v>
      </c>
      <c r="D12" s="212" t="s">
        <v>3</v>
      </c>
      <c r="E12" s="212" t="s">
        <v>122</v>
      </c>
      <c r="F12" s="212" t="s">
        <v>93</v>
      </c>
      <c r="G12" s="213">
        <v>1037213.27</v>
      </c>
    </row>
    <row r="13" spans="1:7" ht="13.9" customHeight="1" x14ac:dyDescent="0.2">
      <c r="A13" s="220" t="s">
        <v>106</v>
      </c>
      <c r="B13" s="218">
        <v>2026</v>
      </c>
      <c r="C13" s="218" t="s">
        <v>2</v>
      </c>
      <c r="D13" s="212" t="s">
        <v>3</v>
      </c>
      <c r="E13" s="212" t="s">
        <v>122</v>
      </c>
      <c r="F13" s="212" t="s">
        <v>93</v>
      </c>
      <c r="G13" s="213">
        <v>526225.80000000005</v>
      </c>
    </row>
    <row r="14" spans="1:7" ht="13.9" customHeight="1" x14ac:dyDescent="0.2">
      <c r="A14" s="220" t="s">
        <v>107</v>
      </c>
      <c r="B14" s="218">
        <v>2026</v>
      </c>
      <c r="C14" s="218" t="s">
        <v>2</v>
      </c>
      <c r="D14" s="212" t="s">
        <v>3</v>
      </c>
      <c r="E14" s="212" t="s">
        <v>122</v>
      </c>
      <c r="F14" s="212" t="s">
        <v>93</v>
      </c>
      <c r="G14" s="213">
        <v>240787.63</v>
      </c>
    </row>
    <row r="15" spans="1:7" ht="13.9" customHeight="1" x14ac:dyDescent="0.2">
      <c r="A15" s="220" t="s">
        <v>108</v>
      </c>
      <c r="B15" s="218">
        <v>2026</v>
      </c>
      <c r="C15" s="218" t="s">
        <v>2</v>
      </c>
      <c r="D15" s="212" t="s">
        <v>3</v>
      </c>
      <c r="E15" s="212" t="s">
        <v>122</v>
      </c>
      <c r="F15" s="212" t="s">
        <v>93</v>
      </c>
      <c r="G15" s="213">
        <v>1981523.62</v>
      </c>
    </row>
    <row r="16" spans="1:7" ht="13.9" customHeight="1" x14ac:dyDescent="0.2">
      <c r="A16" s="220" t="s">
        <v>109</v>
      </c>
      <c r="B16" s="218">
        <v>2026</v>
      </c>
      <c r="C16" s="218" t="s">
        <v>2</v>
      </c>
      <c r="D16" s="212" t="s">
        <v>3</v>
      </c>
      <c r="E16" s="212" t="s">
        <v>122</v>
      </c>
      <c r="F16" s="212" t="s">
        <v>93</v>
      </c>
      <c r="G16" s="213">
        <v>1193236.25</v>
      </c>
    </row>
    <row r="17" spans="1:7" ht="13.9" customHeight="1" x14ac:dyDescent="0.2">
      <c r="A17" s="220" t="s">
        <v>111</v>
      </c>
      <c r="B17" s="218">
        <v>2026</v>
      </c>
      <c r="C17" s="218" t="s">
        <v>2</v>
      </c>
      <c r="D17" s="212" t="s">
        <v>3</v>
      </c>
      <c r="E17" s="212" t="s">
        <v>122</v>
      </c>
      <c r="F17" s="212" t="s">
        <v>93</v>
      </c>
      <c r="G17" s="213">
        <v>906490.07</v>
      </c>
    </row>
    <row r="18" spans="1:7" ht="13.9" customHeight="1" x14ac:dyDescent="0.2">
      <c r="A18" s="220" t="s">
        <v>112</v>
      </c>
      <c r="B18" s="218">
        <v>2026</v>
      </c>
      <c r="C18" s="218" t="s">
        <v>2</v>
      </c>
      <c r="D18" s="212" t="s">
        <v>3</v>
      </c>
      <c r="E18" s="212" t="s">
        <v>122</v>
      </c>
      <c r="F18" s="212" t="s">
        <v>93</v>
      </c>
      <c r="G18" s="213">
        <v>15413061.52</v>
      </c>
    </row>
    <row r="19" spans="1:7" ht="13.9" customHeight="1" x14ac:dyDescent="0.2">
      <c r="A19" s="220" t="s">
        <v>113</v>
      </c>
      <c r="B19" s="218">
        <v>2026</v>
      </c>
      <c r="C19" s="218" t="s">
        <v>2</v>
      </c>
      <c r="D19" s="212" t="s">
        <v>3</v>
      </c>
      <c r="E19" s="212" t="s">
        <v>122</v>
      </c>
      <c r="F19" s="212" t="s">
        <v>93</v>
      </c>
      <c r="G19" s="213">
        <v>624590.51</v>
      </c>
    </row>
    <row r="20" spans="1:7" ht="13.9" customHeight="1" x14ac:dyDescent="0.2">
      <c r="A20" s="220" t="s">
        <v>114</v>
      </c>
      <c r="B20" s="218">
        <v>2026</v>
      </c>
      <c r="C20" s="218" t="s">
        <v>2</v>
      </c>
      <c r="D20" s="212" t="s">
        <v>3</v>
      </c>
      <c r="E20" s="212" t="s">
        <v>122</v>
      </c>
      <c r="F20" s="212" t="s">
        <v>93</v>
      </c>
      <c r="G20" s="213">
        <v>1460872.65</v>
      </c>
    </row>
    <row r="21" spans="1:7" ht="13.9" customHeight="1" x14ac:dyDescent="0.2">
      <c r="A21" s="220" t="s">
        <v>110</v>
      </c>
      <c r="B21" s="218">
        <v>2026</v>
      </c>
      <c r="C21" s="218" t="s">
        <v>2</v>
      </c>
      <c r="D21" s="212" t="s">
        <v>3</v>
      </c>
      <c r="E21" s="212" t="s">
        <v>122</v>
      </c>
      <c r="F21" s="212" t="s">
        <v>93</v>
      </c>
      <c r="G21" s="213">
        <v>1358232.33</v>
      </c>
    </row>
    <row r="22" spans="1:7" ht="13.9" customHeight="1" x14ac:dyDescent="0.2">
      <c r="A22" s="220" t="s">
        <v>95</v>
      </c>
      <c r="B22" s="218">
        <v>2026</v>
      </c>
      <c r="C22" s="218" t="s">
        <v>2</v>
      </c>
      <c r="D22" s="212" t="s">
        <v>3</v>
      </c>
      <c r="E22" s="212" t="s">
        <v>124</v>
      </c>
      <c r="F22" s="212" t="s">
        <v>93</v>
      </c>
      <c r="G22" s="213">
        <v>2500608.7000000002</v>
      </c>
    </row>
    <row r="23" spans="1:7" ht="13.9" customHeight="1" x14ac:dyDescent="0.2">
      <c r="A23" s="220" t="s">
        <v>96</v>
      </c>
      <c r="B23" s="218">
        <v>2026</v>
      </c>
      <c r="C23" s="218" t="s">
        <v>2</v>
      </c>
      <c r="D23" s="212" t="s">
        <v>3</v>
      </c>
      <c r="E23" s="212" t="s">
        <v>124</v>
      </c>
      <c r="F23" s="212" t="s">
        <v>93</v>
      </c>
      <c r="G23" s="213">
        <v>8241023.5999999996</v>
      </c>
    </row>
    <row r="24" spans="1:7" ht="13.9" customHeight="1" x14ac:dyDescent="0.2">
      <c r="A24" s="220" t="s">
        <v>97</v>
      </c>
      <c r="B24" s="218">
        <v>2026</v>
      </c>
      <c r="C24" s="218" t="s">
        <v>2</v>
      </c>
      <c r="D24" s="212" t="s">
        <v>3</v>
      </c>
      <c r="E24" s="212" t="s">
        <v>124</v>
      </c>
      <c r="F24" s="212" t="s">
        <v>93</v>
      </c>
      <c r="G24" s="213">
        <v>5064893.3</v>
      </c>
    </row>
    <row r="25" spans="1:7" ht="13.9" customHeight="1" x14ac:dyDescent="0.2">
      <c r="A25" s="220" t="s">
        <v>98</v>
      </c>
      <c r="B25" s="218">
        <v>2026</v>
      </c>
      <c r="C25" s="218" t="s">
        <v>2</v>
      </c>
      <c r="D25" s="212" t="s">
        <v>3</v>
      </c>
      <c r="E25" s="212" t="s">
        <v>124</v>
      </c>
      <c r="F25" s="212" t="s">
        <v>93</v>
      </c>
      <c r="G25" s="213">
        <v>15355032.82</v>
      </c>
    </row>
    <row r="26" spans="1:7" ht="13.9" customHeight="1" x14ac:dyDescent="0.2">
      <c r="A26" s="220" t="s">
        <v>99</v>
      </c>
      <c r="B26" s="218">
        <v>2026</v>
      </c>
      <c r="C26" s="218" t="s">
        <v>2</v>
      </c>
      <c r="D26" s="212" t="s">
        <v>3</v>
      </c>
      <c r="E26" s="212" t="s">
        <v>124</v>
      </c>
      <c r="F26" s="212" t="s">
        <v>93</v>
      </c>
      <c r="G26" s="213">
        <v>8265565.46</v>
      </c>
    </row>
    <row r="27" spans="1:7" ht="13.9" customHeight="1" x14ac:dyDescent="0.2">
      <c r="A27" s="220" t="s">
        <v>100</v>
      </c>
      <c r="B27" s="218">
        <v>2026</v>
      </c>
      <c r="C27" s="218" t="s">
        <v>2</v>
      </c>
      <c r="D27" s="212" t="s">
        <v>3</v>
      </c>
      <c r="E27" s="212" t="s">
        <v>124</v>
      </c>
      <c r="F27" s="212" t="s">
        <v>93</v>
      </c>
      <c r="G27" s="213">
        <v>2477876.9</v>
      </c>
    </row>
    <row r="28" spans="1:7" ht="13.9" customHeight="1" x14ac:dyDescent="0.2">
      <c r="A28" s="220" t="s">
        <v>101</v>
      </c>
      <c r="B28" s="218">
        <v>2026</v>
      </c>
      <c r="C28" s="218" t="s">
        <v>2</v>
      </c>
      <c r="D28" s="212" t="s">
        <v>3</v>
      </c>
      <c r="E28" s="212" t="s">
        <v>124</v>
      </c>
      <c r="F28" s="212" t="s">
        <v>93</v>
      </c>
      <c r="G28" s="213">
        <v>430927.95</v>
      </c>
    </row>
    <row r="29" spans="1:7" ht="13.9" customHeight="1" x14ac:dyDescent="0.2">
      <c r="A29" s="220" t="s">
        <v>102</v>
      </c>
      <c r="B29" s="218">
        <v>2026</v>
      </c>
      <c r="C29" s="218" t="s">
        <v>2</v>
      </c>
      <c r="D29" s="212" t="s">
        <v>3</v>
      </c>
      <c r="E29" s="212" t="s">
        <v>124</v>
      </c>
      <c r="F29" s="212" t="s">
        <v>93</v>
      </c>
      <c r="G29" s="213">
        <v>4548294.9400000004</v>
      </c>
    </row>
    <row r="30" spans="1:7" ht="13.9" customHeight="1" x14ac:dyDescent="0.2">
      <c r="A30" s="220" t="s">
        <v>103</v>
      </c>
      <c r="B30" s="218">
        <v>2026</v>
      </c>
      <c r="C30" s="218" t="s">
        <v>2</v>
      </c>
      <c r="D30" s="212" t="s">
        <v>3</v>
      </c>
      <c r="E30" s="212" t="s">
        <v>124</v>
      </c>
      <c r="F30" s="212" t="s">
        <v>93</v>
      </c>
      <c r="G30" s="213">
        <v>3813795.33</v>
      </c>
    </row>
    <row r="31" spans="1:7" ht="13.9" customHeight="1" x14ac:dyDescent="0.2">
      <c r="A31" s="220" t="s">
        <v>104</v>
      </c>
      <c r="B31" s="218">
        <v>2026</v>
      </c>
      <c r="C31" s="218" t="s">
        <v>2</v>
      </c>
      <c r="D31" s="212" t="s">
        <v>3</v>
      </c>
      <c r="E31" s="212" t="s">
        <v>124</v>
      </c>
      <c r="F31" s="212" t="s">
        <v>93</v>
      </c>
      <c r="G31" s="213">
        <v>3214077.53</v>
      </c>
    </row>
    <row r="32" spans="1:7" ht="13.9" customHeight="1" x14ac:dyDescent="0.2">
      <c r="A32" s="220" t="s">
        <v>105</v>
      </c>
      <c r="B32" s="218">
        <v>2026</v>
      </c>
      <c r="C32" s="218" t="s">
        <v>2</v>
      </c>
      <c r="D32" s="212" t="s">
        <v>3</v>
      </c>
      <c r="E32" s="212" t="s">
        <v>124</v>
      </c>
      <c r="F32" s="212" t="s">
        <v>93</v>
      </c>
      <c r="G32" s="213">
        <v>2238268.9300000002</v>
      </c>
    </row>
    <row r="33" spans="1:7" ht="13.9" customHeight="1" x14ac:dyDescent="0.2">
      <c r="A33" s="220" t="s">
        <v>106</v>
      </c>
      <c r="B33" s="218">
        <v>2026</v>
      </c>
      <c r="C33" s="218" t="s">
        <v>2</v>
      </c>
      <c r="D33" s="212" t="s">
        <v>3</v>
      </c>
      <c r="E33" s="212" t="s">
        <v>124</v>
      </c>
      <c r="F33" s="212" t="s">
        <v>93</v>
      </c>
      <c r="G33" s="213">
        <v>3072685.7</v>
      </c>
    </row>
    <row r="34" spans="1:7" ht="13.9" customHeight="1" x14ac:dyDescent="0.2">
      <c r="A34" s="220" t="s">
        <v>107</v>
      </c>
      <c r="B34" s="218">
        <v>2026</v>
      </c>
      <c r="C34" s="218" t="s">
        <v>2</v>
      </c>
      <c r="D34" s="212" t="s">
        <v>3</v>
      </c>
      <c r="E34" s="212" t="s">
        <v>124</v>
      </c>
      <c r="F34" s="212" t="s">
        <v>93</v>
      </c>
      <c r="G34" s="213">
        <v>485678.12</v>
      </c>
    </row>
    <row r="35" spans="1:7" ht="13.9" customHeight="1" x14ac:dyDescent="0.2">
      <c r="A35" s="220" t="s">
        <v>108</v>
      </c>
      <c r="B35" s="218">
        <v>2026</v>
      </c>
      <c r="C35" s="218" t="s">
        <v>2</v>
      </c>
      <c r="D35" s="212" t="s">
        <v>3</v>
      </c>
      <c r="E35" s="212" t="s">
        <v>124</v>
      </c>
      <c r="F35" s="212" t="s">
        <v>93</v>
      </c>
      <c r="G35" s="213">
        <v>6009201.71</v>
      </c>
    </row>
    <row r="36" spans="1:7" ht="13.9" customHeight="1" x14ac:dyDescent="0.2">
      <c r="A36" s="220" t="s">
        <v>109</v>
      </c>
      <c r="B36" s="218">
        <v>2026</v>
      </c>
      <c r="C36" s="218" t="s">
        <v>2</v>
      </c>
      <c r="D36" s="212" t="s">
        <v>3</v>
      </c>
      <c r="E36" s="212" t="s">
        <v>124</v>
      </c>
      <c r="F36" s="212" t="s">
        <v>93</v>
      </c>
      <c r="G36" s="213">
        <v>1184884.93</v>
      </c>
    </row>
    <row r="37" spans="1:7" ht="13.9" customHeight="1" x14ac:dyDescent="0.2">
      <c r="A37" s="220" t="s">
        <v>111</v>
      </c>
      <c r="B37" s="218">
        <v>2026</v>
      </c>
      <c r="C37" s="218" t="s">
        <v>2</v>
      </c>
      <c r="D37" s="212" t="s">
        <v>3</v>
      </c>
      <c r="E37" s="212" t="s">
        <v>124</v>
      </c>
      <c r="F37" s="212" t="s">
        <v>93</v>
      </c>
      <c r="G37" s="213">
        <v>3044910.18</v>
      </c>
    </row>
    <row r="38" spans="1:7" ht="13.9" customHeight="1" x14ac:dyDescent="0.2">
      <c r="A38" s="220" t="s">
        <v>112</v>
      </c>
      <c r="B38" s="218">
        <v>2026</v>
      </c>
      <c r="C38" s="218" t="s">
        <v>2</v>
      </c>
      <c r="D38" s="212" t="s">
        <v>3</v>
      </c>
      <c r="E38" s="212" t="s">
        <v>124</v>
      </c>
      <c r="F38" s="212" t="s">
        <v>93</v>
      </c>
      <c r="G38" s="213">
        <v>421575.55</v>
      </c>
    </row>
    <row r="39" spans="1:7" ht="13.9" customHeight="1" x14ac:dyDescent="0.2">
      <c r="A39" s="220" t="s">
        <v>113</v>
      </c>
      <c r="B39" s="218">
        <v>2026</v>
      </c>
      <c r="C39" s="218" t="s">
        <v>2</v>
      </c>
      <c r="D39" s="212" t="s">
        <v>3</v>
      </c>
      <c r="E39" s="212" t="s">
        <v>124</v>
      </c>
      <c r="F39" s="212" t="s">
        <v>93</v>
      </c>
      <c r="G39" s="213">
        <v>1247942.8999999999</v>
      </c>
    </row>
    <row r="40" spans="1:7" ht="13.9" customHeight="1" x14ac:dyDescent="0.2">
      <c r="A40" s="220" t="s">
        <v>114</v>
      </c>
      <c r="B40" s="218">
        <v>2026</v>
      </c>
      <c r="C40" s="218" t="s">
        <v>2</v>
      </c>
      <c r="D40" s="212" t="s">
        <v>3</v>
      </c>
      <c r="E40" s="212" t="s">
        <v>124</v>
      </c>
      <c r="F40" s="212" t="s">
        <v>93</v>
      </c>
      <c r="G40" s="213">
        <v>3448991.51</v>
      </c>
    </row>
    <row r="41" spans="1:7" ht="13.9" customHeight="1" x14ac:dyDescent="0.2">
      <c r="A41" s="220" t="s">
        <v>110</v>
      </c>
      <c r="B41" s="218">
        <v>2026</v>
      </c>
      <c r="C41" s="218" t="s">
        <v>2</v>
      </c>
      <c r="D41" s="212" t="s">
        <v>3</v>
      </c>
      <c r="E41" s="212" t="s">
        <v>124</v>
      </c>
      <c r="F41" s="212" t="s">
        <v>93</v>
      </c>
      <c r="G41" s="213">
        <v>482609.41</v>
      </c>
    </row>
    <row r="42" spans="1:7" ht="13.9" customHeight="1" x14ac:dyDescent="0.2">
      <c r="A42" s="220" t="s">
        <v>95</v>
      </c>
      <c r="B42" s="218">
        <v>2026</v>
      </c>
      <c r="C42" s="218" t="s">
        <v>2</v>
      </c>
      <c r="D42" s="212" t="s">
        <v>4</v>
      </c>
      <c r="E42" s="212" t="s">
        <v>125</v>
      </c>
      <c r="F42" s="212" t="s">
        <v>93</v>
      </c>
      <c r="G42" s="213">
        <v>3483244.8</v>
      </c>
    </row>
    <row r="43" spans="1:7" ht="13.9" customHeight="1" x14ac:dyDescent="0.2">
      <c r="A43" s="220" t="s">
        <v>96</v>
      </c>
      <c r="B43" s="218">
        <v>2026</v>
      </c>
      <c r="C43" s="218" t="s">
        <v>2</v>
      </c>
      <c r="D43" s="212" t="s">
        <v>4</v>
      </c>
      <c r="E43" s="212" t="s">
        <v>125</v>
      </c>
      <c r="F43" s="212" t="s">
        <v>93</v>
      </c>
      <c r="G43" s="213">
        <v>10458576.539999999</v>
      </c>
    </row>
    <row r="44" spans="1:7" ht="13.9" customHeight="1" x14ac:dyDescent="0.2">
      <c r="A44" s="220" t="s">
        <v>97</v>
      </c>
      <c r="B44" s="218">
        <v>2026</v>
      </c>
      <c r="C44" s="218" t="s">
        <v>2</v>
      </c>
      <c r="D44" s="212" t="s">
        <v>4</v>
      </c>
      <c r="E44" s="212" t="s">
        <v>125</v>
      </c>
      <c r="F44" s="212" t="s">
        <v>93</v>
      </c>
      <c r="G44" s="213">
        <v>4120615.66</v>
      </c>
    </row>
    <row r="45" spans="1:7" ht="13.9" customHeight="1" x14ac:dyDescent="0.2">
      <c r="A45" s="220" t="s">
        <v>98</v>
      </c>
      <c r="B45" s="218">
        <v>2026</v>
      </c>
      <c r="C45" s="218" t="s">
        <v>2</v>
      </c>
      <c r="D45" s="212" t="s">
        <v>4</v>
      </c>
      <c r="E45" s="212" t="s">
        <v>125</v>
      </c>
      <c r="F45" s="212" t="s">
        <v>93</v>
      </c>
      <c r="G45" s="213">
        <v>20567368.870000001</v>
      </c>
    </row>
    <row r="46" spans="1:7" ht="13.9" customHeight="1" x14ac:dyDescent="0.2">
      <c r="A46" s="220" t="s">
        <v>99</v>
      </c>
      <c r="B46" s="218">
        <v>2026</v>
      </c>
      <c r="C46" s="218" t="s">
        <v>2</v>
      </c>
      <c r="D46" s="212" t="s">
        <v>4</v>
      </c>
      <c r="E46" s="212" t="s">
        <v>125</v>
      </c>
      <c r="F46" s="212" t="s">
        <v>93</v>
      </c>
      <c r="G46" s="213">
        <v>6770196.29</v>
      </c>
    </row>
    <row r="47" spans="1:7" ht="13.9" customHeight="1" x14ac:dyDescent="0.2">
      <c r="A47" s="220" t="s">
        <v>100</v>
      </c>
      <c r="B47" s="218">
        <v>2026</v>
      </c>
      <c r="C47" s="218" t="s">
        <v>2</v>
      </c>
      <c r="D47" s="212" t="s">
        <v>4</v>
      </c>
      <c r="E47" s="212" t="s">
        <v>125</v>
      </c>
      <c r="F47" s="212" t="s">
        <v>93</v>
      </c>
      <c r="G47" s="213">
        <v>5694426.3099999996</v>
      </c>
    </row>
    <row r="48" spans="1:7" ht="13.9" customHeight="1" x14ac:dyDescent="0.2">
      <c r="A48" s="220" t="s">
        <v>101</v>
      </c>
      <c r="B48" s="218">
        <v>2026</v>
      </c>
      <c r="C48" s="218" t="s">
        <v>2</v>
      </c>
      <c r="D48" s="212" t="s">
        <v>4</v>
      </c>
      <c r="E48" s="212" t="s">
        <v>125</v>
      </c>
      <c r="F48" s="212" t="s">
        <v>93</v>
      </c>
      <c r="G48" s="213">
        <v>8601893.6400000006</v>
      </c>
    </row>
    <row r="49" spans="1:7" ht="13.9" customHeight="1" x14ac:dyDescent="0.2">
      <c r="A49" s="220" t="s">
        <v>102</v>
      </c>
      <c r="B49" s="218">
        <v>2026</v>
      </c>
      <c r="C49" s="218" t="s">
        <v>2</v>
      </c>
      <c r="D49" s="212" t="s">
        <v>4</v>
      </c>
      <c r="E49" s="212" t="s">
        <v>125</v>
      </c>
      <c r="F49" s="212" t="s">
        <v>93</v>
      </c>
      <c r="G49" s="213">
        <v>3152076.6</v>
      </c>
    </row>
    <row r="50" spans="1:7" ht="13.9" customHeight="1" x14ac:dyDescent="0.2">
      <c r="A50" s="220" t="s">
        <v>103</v>
      </c>
      <c r="B50" s="218">
        <v>2026</v>
      </c>
      <c r="C50" s="218" t="s">
        <v>2</v>
      </c>
      <c r="D50" s="212" t="s">
        <v>4</v>
      </c>
      <c r="E50" s="212" t="s">
        <v>125</v>
      </c>
      <c r="F50" s="212" t="s">
        <v>93</v>
      </c>
      <c r="G50" s="213">
        <v>2786192.46</v>
      </c>
    </row>
    <row r="51" spans="1:7" ht="13.9" customHeight="1" x14ac:dyDescent="0.2">
      <c r="A51" s="220" t="s">
        <v>104</v>
      </c>
      <c r="B51" s="218">
        <v>2026</v>
      </c>
      <c r="C51" s="218" t="s">
        <v>2</v>
      </c>
      <c r="D51" s="212" t="s">
        <v>4</v>
      </c>
      <c r="E51" s="212" t="s">
        <v>125</v>
      </c>
      <c r="F51" s="212" t="s">
        <v>93</v>
      </c>
      <c r="G51" s="213">
        <v>8208237.4900000002</v>
      </c>
    </row>
    <row r="52" spans="1:7" ht="13.9" customHeight="1" x14ac:dyDescent="0.2">
      <c r="A52" s="220" t="s">
        <v>105</v>
      </c>
      <c r="B52" s="218">
        <v>2026</v>
      </c>
      <c r="C52" s="218" t="s">
        <v>2</v>
      </c>
      <c r="D52" s="212" t="s">
        <v>4</v>
      </c>
      <c r="E52" s="212" t="s">
        <v>125</v>
      </c>
      <c r="F52" s="212" t="s">
        <v>93</v>
      </c>
      <c r="G52" s="213">
        <v>2454547.2000000002</v>
      </c>
    </row>
    <row r="53" spans="1:7" ht="13.9" customHeight="1" x14ac:dyDescent="0.2">
      <c r="A53" s="220" t="s">
        <v>106</v>
      </c>
      <c r="B53" s="218">
        <v>2026</v>
      </c>
      <c r="C53" s="218" t="s">
        <v>2</v>
      </c>
      <c r="D53" s="212" t="s">
        <v>4</v>
      </c>
      <c r="E53" s="212" t="s">
        <v>125</v>
      </c>
      <c r="F53" s="212" t="s">
        <v>93</v>
      </c>
      <c r="G53" s="213">
        <v>237502.11</v>
      </c>
    </row>
    <row r="54" spans="1:7" ht="13.9" customHeight="1" x14ac:dyDescent="0.2">
      <c r="A54" s="220" t="s">
        <v>107</v>
      </c>
      <c r="B54" s="218">
        <v>2026</v>
      </c>
      <c r="C54" s="218" t="s">
        <v>2</v>
      </c>
      <c r="D54" s="212" t="s">
        <v>4</v>
      </c>
      <c r="E54" s="212" t="s">
        <v>125</v>
      </c>
      <c r="F54" s="212" t="s">
        <v>93</v>
      </c>
      <c r="G54" s="213">
        <v>2372147.2200000002</v>
      </c>
    </row>
    <row r="55" spans="1:7" ht="13.9" customHeight="1" x14ac:dyDescent="0.2">
      <c r="A55" s="220" t="s">
        <v>108</v>
      </c>
      <c r="B55" s="218">
        <v>2026</v>
      </c>
      <c r="C55" s="218" t="s">
        <v>2</v>
      </c>
      <c r="D55" s="212" t="s">
        <v>4</v>
      </c>
      <c r="E55" s="212" t="s">
        <v>125</v>
      </c>
      <c r="F55" s="212" t="s">
        <v>93</v>
      </c>
      <c r="G55" s="213">
        <v>14577125.48</v>
      </c>
    </row>
    <row r="56" spans="1:7" ht="13.9" customHeight="1" x14ac:dyDescent="0.2">
      <c r="A56" s="220" t="s">
        <v>109</v>
      </c>
      <c r="B56" s="218">
        <v>2026</v>
      </c>
      <c r="C56" s="218" t="s">
        <v>2</v>
      </c>
      <c r="D56" s="212" t="s">
        <v>4</v>
      </c>
      <c r="E56" s="212" t="s">
        <v>125</v>
      </c>
      <c r="F56" s="212" t="s">
        <v>93</v>
      </c>
      <c r="G56" s="213">
        <v>1743064.55</v>
      </c>
    </row>
    <row r="57" spans="1:7" ht="13.9" customHeight="1" x14ac:dyDescent="0.2">
      <c r="A57" s="220" t="s">
        <v>111</v>
      </c>
      <c r="B57" s="218">
        <v>2026</v>
      </c>
      <c r="C57" s="218" t="s">
        <v>2</v>
      </c>
      <c r="D57" s="212" t="s">
        <v>4</v>
      </c>
      <c r="E57" s="212" t="s">
        <v>125</v>
      </c>
      <c r="F57" s="212" t="s">
        <v>93</v>
      </c>
      <c r="G57" s="213">
        <v>8264866.3300000001</v>
      </c>
    </row>
    <row r="58" spans="1:7" ht="13.9" customHeight="1" x14ac:dyDescent="0.2">
      <c r="A58" s="220" t="s">
        <v>112</v>
      </c>
      <c r="B58" s="218">
        <v>2026</v>
      </c>
      <c r="C58" s="218" t="s">
        <v>2</v>
      </c>
      <c r="D58" s="212" t="s">
        <v>4</v>
      </c>
      <c r="E58" s="212" t="s">
        <v>125</v>
      </c>
      <c r="F58" s="212" t="s">
        <v>93</v>
      </c>
      <c r="G58" s="213">
        <v>2476305.16</v>
      </c>
    </row>
    <row r="59" spans="1:7" ht="13.9" customHeight="1" x14ac:dyDescent="0.2">
      <c r="A59" s="220" t="s">
        <v>113</v>
      </c>
      <c r="B59" s="218">
        <v>2026</v>
      </c>
      <c r="C59" s="218" t="s">
        <v>2</v>
      </c>
      <c r="D59" s="212" t="s">
        <v>4</v>
      </c>
      <c r="E59" s="212" t="s">
        <v>125</v>
      </c>
      <c r="F59" s="212" t="s">
        <v>93</v>
      </c>
      <c r="G59" s="213">
        <v>7982746.3399999999</v>
      </c>
    </row>
    <row r="60" spans="1:7" ht="13.9" customHeight="1" x14ac:dyDescent="0.2">
      <c r="A60" s="220" t="s">
        <v>114</v>
      </c>
      <c r="B60" s="218">
        <v>2026</v>
      </c>
      <c r="C60" s="218" t="s">
        <v>2</v>
      </c>
      <c r="D60" s="212" t="s">
        <v>4</v>
      </c>
      <c r="E60" s="212" t="s">
        <v>125</v>
      </c>
      <c r="F60" s="212" t="s">
        <v>93</v>
      </c>
      <c r="G60" s="213">
        <v>9168649.3800000008</v>
      </c>
    </row>
    <row r="61" spans="1:7" ht="13.9" customHeight="1" x14ac:dyDescent="0.2">
      <c r="A61" s="220" t="s">
        <v>110</v>
      </c>
      <c r="B61" s="218">
        <v>2026</v>
      </c>
      <c r="C61" s="218" t="s">
        <v>2</v>
      </c>
      <c r="D61" s="212" t="s">
        <v>4</v>
      </c>
      <c r="E61" s="212" t="s">
        <v>125</v>
      </c>
      <c r="F61" s="212" t="s">
        <v>93</v>
      </c>
      <c r="G61" s="213">
        <v>36316.43</v>
      </c>
    </row>
    <row r="62" spans="1:7" ht="13.9" customHeight="1" x14ac:dyDescent="0.2">
      <c r="A62" s="220" t="s">
        <v>95</v>
      </c>
      <c r="B62" s="218">
        <v>2026</v>
      </c>
      <c r="C62" s="218" t="s">
        <v>2</v>
      </c>
      <c r="D62" s="212" t="s">
        <v>4</v>
      </c>
      <c r="E62" s="212" t="s">
        <v>126</v>
      </c>
      <c r="F62" s="212" t="s">
        <v>93</v>
      </c>
      <c r="G62" s="213">
        <v>1097018.8500000001</v>
      </c>
    </row>
    <row r="63" spans="1:7" ht="13.9" customHeight="1" x14ac:dyDescent="0.2">
      <c r="A63" s="220" t="s">
        <v>96</v>
      </c>
      <c r="B63" s="218">
        <v>2026</v>
      </c>
      <c r="C63" s="218" t="s">
        <v>2</v>
      </c>
      <c r="D63" s="212" t="s">
        <v>4</v>
      </c>
      <c r="E63" s="212" t="s">
        <v>126</v>
      </c>
      <c r="F63" s="212" t="s">
        <v>93</v>
      </c>
      <c r="G63" s="213">
        <v>2451129.25</v>
      </c>
    </row>
    <row r="64" spans="1:7" ht="13.9" customHeight="1" x14ac:dyDescent="0.2">
      <c r="A64" s="220" t="s">
        <v>97</v>
      </c>
      <c r="B64" s="218">
        <v>2026</v>
      </c>
      <c r="C64" s="218" t="s">
        <v>2</v>
      </c>
      <c r="D64" s="212" t="s">
        <v>4</v>
      </c>
      <c r="E64" s="212" t="s">
        <v>126</v>
      </c>
      <c r="F64" s="212" t="s">
        <v>93</v>
      </c>
      <c r="G64" s="213">
        <v>1387084.44</v>
      </c>
    </row>
    <row r="65" spans="1:7" ht="13.9" customHeight="1" x14ac:dyDescent="0.2">
      <c r="A65" s="220" t="s">
        <v>98</v>
      </c>
      <c r="B65" s="218">
        <v>2026</v>
      </c>
      <c r="C65" s="218" t="s">
        <v>2</v>
      </c>
      <c r="D65" s="212" t="s">
        <v>4</v>
      </c>
      <c r="E65" s="212" t="s">
        <v>126</v>
      </c>
      <c r="F65" s="212" t="s">
        <v>93</v>
      </c>
      <c r="G65" s="213">
        <v>11612494.140000001</v>
      </c>
    </row>
    <row r="66" spans="1:7" ht="13.9" customHeight="1" x14ac:dyDescent="0.2">
      <c r="A66" s="220" t="s">
        <v>99</v>
      </c>
      <c r="B66" s="218">
        <v>2026</v>
      </c>
      <c r="C66" s="218" t="s">
        <v>2</v>
      </c>
      <c r="D66" s="212" t="s">
        <v>4</v>
      </c>
      <c r="E66" s="212" t="s">
        <v>126</v>
      </c>
      <c r="F66" s="212" t="s">
        <v>93</v>
      </c>
      <c r="G66" s="213">
        <v>8772546.3100000005</v>
      </c>
    </row>
    <row r="67" spans="1:7" ht="13.9" customHeight="1" x14ac:dyDescent="0.2">
      <c r="A67" s="220" t="s">
        <v>100</v>
      </c>
      <c r="B67" s="218">
        <v>2026</v>
      </c>
      <c r="C67" s="218" t="s">
        <v>2</v>
      </c>
      <c r="D67" s="212" t="s">
        <v>4</v>
      </c>
      <c r="E67" s="212" t="s">
        <v>126</v>
      </c>
      <c r="F67" s="212" t="s">
        <v>93</v>
      </c>
      <c r="G67" s="213">
        <v>2663781.56</v>
      </c>
    </row>
    <row r="68" spans="1:7" ht="13.9" customHeight="1" x14ac:dyDescent="0.2">
      <c r="A68" s="220" t="s">
        <v>101</v>
      </c>
      <c r="B68" s="218">
        <v>2026</v>
      </c>
      <c r="C68" s="218" t="s">
        <v>2</v>
      </c>
      <c r="D68" s="212" t="s">
        <v>4</v>
      </c>
      <c r="E68" s="212" t="s">
        <v>126</v>
      </c>
      <c r="F68" s="212" t="s">
        <v>93</v>
      </c>
      <c r="G68" s="213">
        <v>6466746.3700000001</v>
      </c>
    </row>
    <row r="69" spans="1:7" ht="13.9" customHeight="1" x14ac:dyDescent="0.2">
      <c r="A69" s="220" t="s">
        <v>102</v>
      </c>
      <c r="B69" s="218">
        <v>2026</v>
      </c>
      <c r="C69" s="218" t="s">
        <v>2</v>
      </c>
      <c r="D69" s="212" t="s">
        <v>4</v>
      </c>
      <c r="E69" s="212" t="s">
        <v>126</v>
      </c>
      <c r="F69" s="212" t="s">
        <v>93</v>
      </c>
      <c r="G69" s="213">
        <v>2305.7199999999998</v>
      </c>
    </row>
    <row r="70" spans="1:7" ht="13.9" customHeight="1" x14ac:dyDescent="0.2">
      <c r="A70" s="220" t="s">
        <v>103</v>
      </c>
      <c r="B70" s="218">
        <v>2026</v>
      </c>
      <c r="C70" s="218" t="s">
        <v>2</v>
      </c>
      <c r="D70" s="212" t="s">
        <v>4</v>
      </c>
      <c r="E70" s="212" t="s">
        <v>126</v>
      </c>
      <c r="F70" s="212" t="s">
        <v>93</v>
      </c>
      <c r="G70" s="213">
        <v>1928227.54</v>
      </c>
    </row>
    <row r="71" spans="1:7" ht="13.9" customHeight="1" x14ac:dyDescent="0.2">
      <c r="A71" s="220" t="s">
        <v>104</v>
      </c>
      <c r="B71" s="218">
        <v>2026</v>
      </c>
      <c r="C71" s="218" t="s">
        <v>2</v>
      </c>
      <c r="D71" s="212" t="s">
        <v>4</v>
      </c>
      <c r="E71" s="212" t="s">
        <v>126</v>
      </c>
      <c r="F71" s="212" t="s">
        <v>93</v>
      </c>
      <c r="G71" s="213">
        <v>3317208</v>
      </c>
    </row>
    <row r="72" spans="1:7" ht="13.9" customHeight="1" x14ac:dyDescent="0.2">
      <c r="A72" s="220" t="s">
        <v>105</v>
      </c>
      <c r="B72" s="218">
        <v>2026</v>
      </c>
      <c r="C72" s="218" t="s">
        <v>2</v>
      </c>
      <c r="D72" s="212" t="s">
        <v>4</v>
      </c>
      <c r="E72" s="212" t="s">
        <v>126</v>
      </c>
      <c r="F72" s="212" t="s">
        <v>93</v>
      </c>
      <c r="G72" s="213">
        <v>1887998.34</v>
      </c>
    </row>
    <row r="73" spans="1:7" ht="13.9" customHeight="1" x14ac:dyDescent="0.2">
      <c r="A73" s="220" t="s">
        <v>106</v>
      </c>
      <c r="B73" s="218">
        <v>2026</v>
      </c>
      <c r="C73" s="218" t="s">
        <v>2</v>
      </c>
      <c r="D73" s="212" t="s">
        <v>4</v>
      </c>
      <c r="E73" s="212" t="s">
        <v>126</v>
      </c>
      <c r="F73" s="212" t="s">
        <v>93</v>
      </c>
      <c r="G73" s="213">
        <v>1761355.97</v>
      </c>
    </row>
    <row r="74" spans="1:7" ht="13.9" customHeight="1" x14ac:dyDescent="0.2">
      <c r="A74" s="220" t="s">
        <v>107</v>
      </c>
      <c r="B74" s="218">
        <v>2026</v>
      </c>
      <c r="C74" s="218" t="s">
        <v>2</v>
      </c>
      <c r="D74" s="212" t="s">
        <v>4</v>
      </c>
      <c r="E74" s="212" t="s">
        <v>126</v>
      </c>
      <c r="F74" s="212" t="s">
        <v>93</v>
      </c>
      <c r="G74" s="213">
        <v>343539.34</v>
      </c>
    </row>
    <row r="75" spans="1:7" ht="13.9" customHeight="1" x14ac:dyDescent="0.2">
      <c r="A75" s="220" t="s">
        <v>108</v>
      </c>
      <c r="B75" s="218">
        <v>2026</v>
      </c>
      <c r="C75" s="218" t="s">
        <v>2</v>
      </c>
      <c r="D75" s="212" t="s">
        <v>4</v>
      </c>
      <c r="E75" s="212" t="s">
        <v>126</v>
      </c>
      <c r="F75" s="212" t="s">
        <v>93</v>
      </c>
      <c r="G75" s="213">
        <v>5687986.5099999998</v>
      </c>
    </row>
    <row r="76" spans="1:7" ht="13.9" customHeight="1" x14ac:dyDescent="0.2">
      <c r="A76" s="220" t="s">
        <v>109</v>
      </c>
      <c r="B76" s="218">
        <v>2026</v>
      </c>
      <c r="C76" s="218" t="s">
        <v>2</v>
      </c>
      <c r="D76" s="212" t="s">
        <v>4</v>
      </c>
      <c r="E76" s="212" t="s">
        <v>126</v>
      </c>
      <c r="F76" s="212" t="s">
        <v>93</v>
      </c>
      <c r="G76" s="213">
        <v>1610840.4</v>
      </c>
    </row>
    <row r="77" spans="1:7" ht="13.9" customHeight="1" x14ac:dyDescent="0.2">
      <c r="A77" s="220" t="s">
        <v>111</v>
      </c>
      <c r="B77" s="218">
        <v>2026</v>
      </c>
      <c r="C77" s="218" t="s">
        <v>2</v>
      </c>
      <c r="D77" s="212" t="s">
        <v>4</v>
      </c>
      <c r="E77" s="212" t="s">
        <v>126</v>
      </c>
      <c r="F77" s="212" t="s">
        <v>93</v>
      </c>
      <c r="G77" s="213">
        <v>2081749.95</v>
      </c>
    </row>
    <row r="78" spans="1:7" ht="13.9" customHeight="1" x14ac:dyDescent="0.2">
      <c r="A78" s="220" t="s">
        <v>112</v>
      </c>
      <c r="B78" s="218">
        <v>2026</v>
      </c>
      <c r="C78" s="218" t="s">
        <v>2</v>
      </c>
      <c r="D78" s="212" t="s">
        <v>4</v>
      </c>
      <c r="E78" s="212" t="s">
        <v>126</v>
      </c>
      <c r="F78" s="212" t="s">
        <v>93</v>
      </c>
      <c r="G78" s="213">
        <v>24022654.059999999</v>
      </c>
    </row>
    <row r="79" spans="1:7" ht="13.9" customHeight="1" x14ac:dyDescent="0.2">
      <c r="A79" s="220" t="s">
        <v>113</v>
      </c>
      <c r="B79" s="218">
        <v>2026</v>
      </c>
      <c r="C79" s="218" t="s">
        <v>2</v>
      </c>
      <c r="D79" s="212" t="s">
        <v>4</v>
      </c>
      <c r="E79" s="212" t="s">
        <v>126</v>
      </c>
      <c r="F79" s="212" t="s">
        <v>93</v>
      </c>
      <c r="G79" s="213">
        <v>1695339.1</v>
      </c>
    </row>
    <row r="80" spans="1:7" ht="13.9" customHeight="1" x14ac:dyDescent="0.2">
      <c r="A80" s="220" t="s">
        <v>114</v>
      </c>
      <c r="B80" s="218">
        <v>2026</v>
      </c>
      <c r="C80" s="218" t="s">
        <v>2</v>
      </c>
      <c r="D80" s="212" t="s">
        <v>4</v>
      </c>
      <c r="E80" s="212" t="s">
        <v>126</v>
      </c>
      <c r="F80" s="212" t="s">
        <v>93</v>
      </c>
      <c r="G80" s="213">
        <v>2037020.27</v>
      </c>
    </row>
    <row r="81" spans="1:7" ht="13.9" customHeight="1" x14ac:dyDescent="0.2">
      <c r="A81" s="220" t="s">
        <v>110</v>
      </c>
      <c r="B81" s="218">
        <v>2026</v>
      </c>
      <c r="C81" s="218" t="s">
        <v>2</v>
      </c>
      <c r="D81" s="212" t="s">
        <v>4</v>
      </c>
      <c r="E81" s="212" t="s">
        <v>126</v>
      </c>
      <c r="F81" s="212" t="s">
        <v>93</v>
      </c>
      <c r="G81" s="213">
        <v>672971.99</v>
      </c>
    </row>
    <row r="82" spans="1:7" ht="13.9" customHeight="1" x14ac:dyDescent="0.2">
      <c r="A82" s="220" t="s">
        <v>95</v>
      </c>
      <c r="B82" s="218">
        <v>2026</v>
      </c>
      <c r="C82" s="218" t="s">
        <v>2</v>
      </c>
      <c r="D82" s="212" t="s">
        <v>4</v>
      </c>
      <c r="E82" s="212" t="s">
        <v>127</v>
      </c>
      <c r="F82" s="212" t="s">
        <v>93</v>
      </c>
      <c r="G82" s="213">
        <v>2537178.2200000002</v>
      </c>
    </row>
    <row r="83" spans="1:7" ht="13.9" customHeight="1" x14ac:dyDescent="0.2">
      <c r="A83" s="220" t="s">
        <v>96</v>
      </c>
      <c r="B83" s="218">
        <v>2026</v>
      </c>
      <c r="C83" s="218" t="s">
        <v>2</v>
      </c>
      <c r="D83" s="212" t="s">
        <v>4</v>
      </c>
      <c r="E83" s="212" t="s">
        <v>127</v>
      </c>
      <c r="F83" s="212" t="s">
        <v>93</v>
      </c>
      <c r="G83" s="213">
        <v>656200.02</v>
      </c>
    </row>
    <row r="84" spans="1:7" ht="13.9" customHeight="1" x14ac:dyDescent="0.2">
      <c r="A84" s="220" t="s">
        <v>97</v>
      </c>
      <c r="B84" s="218">
        <v>2026</v>
      </c>
      <c r="C84" s="218" t="s">
        <v>2</v>
      </c>
      <c r="D84" s="212" t="s">
        <v>4</v>
      </c>
      <c r="E84" s="212" t="s">
        <v>127</v>
      </c>
      <c r="F84" s="212" t="s">
        <v>93</v>
      </c>
      <c r="G84" s="213">
        <v>2021299.84</v>
      </c>
    </row>
    <row r="85" spans="1:7" ht="13.9" customHeight="1" x14ac:dyDescent="0.2">
      <c r="A85" s="220" t="s">
        <v>98</v>
      </c>
      <c r="B85" s="218">
        <v>2026</v>
      </c>
      <c r="C85" s="218" t="s">
        <v>2</v>
      </c>
      <c r="D85" s="212" t="s">
        <v>4</v>
      </c>
      <c r="E85" s="212" t="s">
        <v>127</v>
      </c>
      <c r="F85" s="212" t="s">
        <v>93</v>
      </c>
      <c r="G85" s="213">
        <v>6733293.79</v>
      </c>
    </row>
    <row r="86" spans="1:7" ht="13.9" customHeight="1" x14ac:dyDescent="0.2">
      <c r="A86" s="220" t="s">
        <v>99</v>
      </c>
      <c r="B86" s="218">
        <v>2026</v>
      </c>
      <c r="C86" s="218" t="s">
        <v>2</v>
      </c>
      <c r="D86" s="212" t="s">
        <v>4</v>
      </c>
      <c r="E86" s="212" t="s">
        <v>127</v>
      </c>
      <c r="F86" s="212" t="s">
        <v>93</v>
      </c>
      <c r="G86" s="213">
        <v>6982272.2000000002</v>
      </c>
    </row>
    <row r="87" spans="1:7" ht="13.9" customHeight="1" x14ac:dyDescent="0.2">
      <c r="A87" s="220" t="s">
        <v>100</v>
      </c>
      <c r="B87" s="218">
        <v>2026</v>
      </c>
      <c r="C87" s="218" t="s">
        <v>2</v>
      </c>
      <c r="D87" s="212" t="s">
        <v>4</v>
      </c>
      <c r="E87" s="212" t="s">
        <v>127</v>
      </c>
      <c r="F87" s="212" t="s">
        <v>93</v>
      </c>
      <c r="G87" s="213">
        <v>903791.64</v>
      </c>
    </row>
    <row r="88" spans="1:7" ht="13.9" customHeight="1" x14ac:dyDescent="0.2">
      <c r="A88" s="220" t="s">
        <v>101</v>
      </c>
      <c r="B88" s="218">
        <v>2026</v>
      </c>
      <c r="C88" s="218" t="s">
        <v>2</v>
      </c>
      <c r="D88" s="212" t="s">
        <v>4</v>
      </c>
      <c r="E88" s="212" t="s">
        <v>127</v>
      </c>
      <c r="F88" s="212" t="s">
        <v>93</v>
      </c>
      <c r="G88" s="213">
        <v>1440927.52</v>
      </c>
    </row>
    <row r="89" spans="1:7" ht="13.9" customHeight="1" x14ac:dyDescent="0.2">
      <c r="A89" s="220" t="s">
        <v>102</v>
      </c>
      <c r="B89" s="218">
        <v>2026</v>
      </c>
      <c r="C89" s="218" t="s">
        <v>2</v>
      </c>
      <c r="D89" s="212" t="s">
        <v>4</v>
      </c>
      <c r="E89" s="212" t="s">
        <v>127</v>
      </c>
      <c r="F89" s="212" t="s">
        <v>93</v>
      </c>
      <c r="G89" s="213">
        <v>4082215.66</v>
      </c>
    </row>
    <row r="90" spans="1:7" ht="13.9" customHeight="1" x14ac:dyDescent="0.2">
      <c r="A90" s="220" t="s">
        <v>103</v>
      </c>
      <c r="B90" s="218">
        <v>2026</v>
      </c>
      <c r="C90" s="218" t="s">
        <v>2</v>
      </c>
      <c r="D90" s="212" t="s">
        <v>4</v>
      </c>
      <c r="E90" s="212" t="s">
        <v>127</v>
      </c>
      <c r="F90" s="212" t="s">
        <v>93</v>
      </c>
      <c r="G90" s="213">
        <v>2698409.16</v>
      </c>
    </row>
    <row r="91" spans="1:7" ht="13.9" customHeight="1" x14ac:dyDescent="0.2">
      <c r="A91" s="220" t="s">
        <v>104</v>
      </c>
      <c r="B91" s="218">
        <v>2026</v>
      </c>
      <c r="C91" s="218" t="s">
        <v>2</v>
      </c>
      <c r="D91" s="212" t="s">
        <v>4</v>
      </c>
      <c r="E91" s="212" t="s">
        <v>127</v>
      </c>
      <c r="F91" s="212" t="s">
        <v>93</v>
      </c>
      <c r="G91" s="213">
        <v>4250521.95</v>
      </c>
    </row>
    <row r="92" spans="1:7" ht="13.9" customHeight="1" x14ac:dyDescent="0.2">
      <c r="A92" s="220" t="s">
        <v>105</v>
      </c>
      <c r="B92" s="218">
        <v>2026</v>
      </c>
      <c r="C92" s="218" t="s">
        <v>2</v>
      </c>
      <c r="D92" s="212" t="s">
        <v>4</v>
      </c>
      <c r="E92" s="212" t="s">
        <v>127</v>
      </c>
      <c r="F92" s="212" t="s">
        <v>93</v>
      </c>
      <c r="G92" s="213">
        <v>3831633.22</v>
      </c>
    </row>
    <row r="93" spans="1:7" ht="13.9" customHeight="1" x14ac:dyDescent="0.2">
      <c r="A93" s="220" t="s">
        <v>106</v>
      </c>
      <c r="B93" s="218">
        <v>2026</v>
      </c>
      <c r="C93" s="218" t="s">
        <v>2</v>
      </c>
      <c r="D93" s="212" t="s">
        <v>4</v>
      </c>
      <c r="E93" s="212" t="s">
        <v>127</v>
      </c>
      <c r="F93" s="212" t="s">
        <v>93</v>
      </c>
      <c r="G93" s="213">
        <v>9603802.9100000001</v>
      </c>
    </row>
    <row r="94" spans="1:7" ht="13.9" customHeight="1" x14ac:dyDescent="0.2">
      <c r="A94" s="220" t="s">
        <v>107</v>
      </c>
      <c r="B94" s="218">
        <v>2026</v>
      </c>
      <c r="C94" s="218" t="s">
        <v>2</v>
      </c>
      <c r="D94" s="212" t="s">
        <v>4</v>
      </c>
      <c r="E94" s="212" t="s">
        <v>127</v>
      </c>
      <c r="F94" s="212" t="s">
        <v>93</v>
      </c>
      <c r="G94" s="213">
        <v>373328.34</v>
      </c>
    </row>
    <row r="95" spans="1:7" ht="13.9" customHeight="1" x14ac:dyDescent="0.2">
      <c r="A95" s="220" t="s">
        <v>108</v>
      </c>
      <c r="B95" s="218">
        <v>2026</v>
      </c>
      <c r="C95" s="218" t="s">
        <v>2</v>
      </c>
      <c r="D95" s="212" t="s">
        <v>4</v>
      </c>
      <c r="E95" s="212" t="s">
        <v>127</v>
      </c>
      <c r="F95" s="212" t="s">
        <v>93</v>
      </c>
      <c r="G95" s="213">
        <v>10758808.890000001</v>
      </c>
    </row>
    <row r="96" spans="1:7" ht="13.9" customHeight="1" x14ac:dyDescent="0.2">
      <c r="A96" s="220" t="s">
        <v>109</v>
      </c>
      <c r="B96" s="218">
        <v>2026</v>
      </c>
      <c r="C96" s="218" t="s">
        <v>2</v>
      </c>
      <c r="D96" s="212" t="s">
        <v>4</v>
      </c>
      <c r="E96" s="212" t="s">
        <v>127</v>
      </c>
      <c r="F96" s="212" t="s">
        <v>93</v>
      </c>
      <c r="G96" s="213">
        <v>4621971.18</v>
      </c>
    </row>
    <row r="97" spans="1:7" ht="13.9" customHeight="1" x14ac:dyDescent="0.2">
      <c r="A97" s="220" t="s">
        <v>111</v>
      </c>
      <c r="B97" s="218">
        <v>2026</v>
      </c>
      <c r="C97" s="218" t="s">
        <v>2</v>
      </c>
      <c r="D97" s="212" t="s">
        <v>4</v>
      </c>
      <c r="E97" s="212" t="s">
        <v>127</v>
      </c>
      <c r="F97" s="212" t="s">
        <v>93</v>
      </c>
      <c r="G97" s="213">
        <v>134889.71</v>
      </c>
    </row>
    <row r="98" spans="1:7" ht="13.9" customHeight="1" x14ac:dyDescent="0.2">
      <c r="A98" s="220" t="s">
        <v>112</v>
      </c>
      <c r="B98" s="218">
        <v>2026</v>
      </c>
      <c r="C98" s="218" t="s">
        <v>2</v>
      </c>
      <c r="D98" s="212" t="s">
        <v>4</v>
      </c>
      <c r="E98" s="212" t="s">
        <v>127</v>
      </c>
      <c r="F98" s="212" t="s">
        <v>93</v>
      </c>
      <c r="G98" s="213">
        <v>29525322.079999998</v>
      </c>
    </row>
    <row r="99" spans="1:7" ht="13.9" customHeight="1" x14ac:dyDescent="0.2">
      <c r="A99" s="220" t="s">
        <v>113</v>
      </c>
      <c r="B99" s="218">
        <v>2026</v>
      </c>
      <c r="C99" s="218" t="s">
        <v>2</v>
      </c>
      <c r="D99" s="212" t="s">
        <v>4</v>
      </c>
      <c r="E99" s="212" t="s">
        <v>127</v>
      </c>
      <c r="F99" s="212" t="s">
        <v>93</v>
      </c>
      <c r="G99" s="213">
        <v>89705.55</v>
      </c>
    </row>
    <row r="100" spans="1:7" ht="13.9" customHeight="1" x14ac:dyDescent="0.2">
      <c r="A100" s="220" t="s">
        <v>114</v>
      </c>
      <c r="B100" s="218">
        <v>2026</v>
      </c>
      <c r="C100" s="218" t="s">
        <v>2</v>
      </c>
      <c r="D100" s="212" t="s">
        <v>4</v>
      </c>
      <c r="E100" s="212" t="s">
        <v>127</v>
      </c>
      <c r="F100" s="212" t="s">
        <v>93</v>
      </c>
      <c r="G100" s="213">
        <v>222634.15</v>
      </c>
    </row>
    <row r="101" spans="1:7" ht="13.9" customHeight="1" x14ac:dyDescent="0.2">
      <c r="A101" s="220" t="s">
        <v>110</v>
      </c>
      <c r="B101" s="218">
        <v>2026</v>
      </c>
      <c r="C101" s="218" t="s">
        <v>2</v>
      </c>
      <c r="D101" s="212" t="s">
        <v>4</v>
      </c>
      <c r="E101" s="212" t="s">
        <v>127</v>
      </c>
      <c r="F101" s="212" t="s">
        <v>93</v>
      </c>
      <c r="G101" s="213">
        <v>12068.07</v>
      </c>
    </row>
    <row r="102" spans="1:7" ht="13.9" customHeight="1" x14ac:dyDescent="0.2">
      <c r="A102" s="220" t="s">
        <v>106</v>
      </c>
      <c r="B102" s="218">
        <v>2026</v>
      </c>
      <c r="C102" s="218" t="s">
        <v>2</v>
      </c>
      <c r="D102" s="212" t="s">
        <v>5</v>
      </c>
      <c r="E102" s="212" t="s">
        <v>128</v>
      </c>
      <c r="F102" s="212" t="s">
        <v>93</v>
      </c>
      <c r="G102" s="213">
        <v>4520372.1714205891</v>
      </c>
    </row>
    <row r="103" spans="1:7" ht="13.9" customHeight="1" x14ac:dyDescent="0.2">
      <c r="A103" s="220" t="s">
        <v>107</v>
      </c>
      <c r="B103" s="218">
        <v>2026</v>
      </c>
      <c r="C103" s="218" t="s">
        <v>2</v>
      </c>
      <c r="D103" s="212" t="s">
        <v>5</v>
      </c>
      <c r="E103" s="212" t="s">
        <v>128</v>
      </c>
      <c r="F103" s="212" t="s">
        <v>93</v>
      </c>
      <c r="G103" s="213">
        <v>482877.72771898704</v>
      </c>
    </row>
    <row r="104" spans="1:7" ht="13.9" customHeight="1" x14ac:dyDescent="0.2">
      <c r="A104" s="220" t="s">
        <v>108</v>
      </c>
      <c r="B104" s="218">
        <v>2026</v>
      </c>
      <c r="C104" s="218" t="s">
        <v>2</v>
      </c>
      <c r="D104" s="212" t="s">
        <v>5</v>
      </c>
      <c r="E104" s="212" t="s">
        <v>128</v>
      </c>
      <c r="F104" s="212" t="s">
        <v>93</v>
      </c>
      <c r="G104" s="213">
        <v>5885041.8213627795</v>
      </c>
    </row>
    <row r="105" spans="1:7" ht="13.9" customHeight="1" x14ac:dyDescent="0.2">
      <c r="A105" s="220" t="s">
        <v>109</v>
      </c>
      <c r="B105" s="218">
        <v>2026</v>
      </c>
      <c r="C105" s="218" t="s">
        <v>2</v>
      </c>
      <c r="D105" s="212" t="s">
        <v>5</v>
      </c>
      <c r="E105" s="212" t="s">
        <v>128</v>
      </c>
      <c r="F105" s="212" t="s">
        <v>93</v>
      </c>
      <c r="G105" s="213">
        <v>2432425.769185184</v>
      </c>
    </row>
    <row r="106" spans="1:7" ht="13.9" customHeight="1" x14ac:dyDescent="0.2">
      <c r="A106" s="220" t="s">
        <v>111</v>
      </c>
      <c r="B106" s="218">
        <v>2026</v>
      </c>
      <c r="C106" s="218" t="s">
        <v>2</v>
      </c>
      <c r="D106" s="212" t="s">
        <v>5</v>
      </c>
      <c r="E106" s="212" t="s">
        <v>128</v>
      </c>
      <c r="F106" s="212" t="s">
        <v>93</v>
      </c>
      <c r="G106" s="213">
        <v>3282580.6816909611</v>
      </c>
    </row>
    <row r="107" spans="1:7" ht="13.9" customHeight="1" x14ac:dyDescent="0.2">
      <c r="A107" s="220" t="s">
        <v>112</v>
      </c>
      <c r="B107" s="218">
        <v>2026</v>
      </c>
      <c r="C107" s="218" t="s">
        <v>2</v>
      </c>
      <c r="D107" s="212" t="s">
        <v>5</v>
      </c>
      <c r="E107" s="212" t="s">
        <v>128</v>
      </c>
      <c r="F107" s="212" t="s">
        <v>93</v>
      </c>
      <c r="G107" s="213">
        <v>16796465.649125606</v>
      </c>
    </row>
    <row r="108" spans="1:7" ht="13.9" customHeight="1" x14ac:dyDescent="0.2">
      <c r="A108" s="220" t="s">
        <v>113</v>
      </c>
      <c r="B108" s="218">
        <v>2026</v>
      </c>
      <c r="C108" s="218" t="s">
        <v>2</v>
      </c>
      <c r="D108" s="212" t="s">
        <v>5</v>
      </c>
      <c r="E108" s="212" t="s">
        <v>128</v>
      </c>
      <c r="F108" s="212" t="s">
        <v>93</v>
      </c>
      <c r="G108" s="213">
        <v>2459015.5355057828</v>
      </c>
    </row>
    <row r="109" spans="1:7" ht="13.9" customHeight="1" x14ac:dyDescent="0.2">
      <c r="A109" s="220" t="s">
        <v>114</v>
      </c>
      <c r="B109" s="218">
        <v>2026</v>
      </c>
      <c r="C109" s="218" t="s">
        <v>2</v>
      </c>
      <c r="D109" s="212" t="s">
        <v>5</v>
      </c>
      <c r="E109" s="212" t="s">
        <v>128</v>
      </c>
      <c r="F109" s="212" t="s">
        <v>93</v>
      </c>
      <c r="G109" s="213">
        <v>3840965.8052022271</v>
      </c>
    </row>
    <row r="110" spans="1:7" ht="13.9" customHeight="1" x14ac:dyDescent="0.2">
      <c r="A110" s="220" t="s">
        <v>110</v>
      </c>
      <c r="B110" s="218">
        <v>2026</v>
      </c>
      <c r="C110" s="218" t="s">
        <v>2</v>
      </c>
      <c r="D110" s="212" t="s">
        <v>5</v>
      </c>
      <c r="E110" s="212" t="s">
        <v>128</v>
      </c>
      <c r="F110" s="212" t="s">
        <v>93</v>
      </c>
      <c r="G110" s="213">
        <v>205035.19061658921</v>
      </c>
    </row>
    <row r="111" spans="1:7" ht="13.9" customHeight="1" x14ac:dyDescent="0.2">
      <c r="A111" s="220" t="s">
        <v>95</v>
      </c>
      <c r="B111" s="218">
        <v>2026</v>
      </c>
      <c r="C111" s="218" t="s">
        <v>2</v>
      </c>
      <c r="D111" s="212" t="s">
        <v>5</v>
      </c>
      <c r="E111" s="212" t="s">
        <v>128</v>
      </c>
      <c r="F111" s="212" t="s">
        <v>93</v>
      </c>
      <c r="G111" s="213">
        <v>895996.79933667905</v>
      </c>
    </row>
    <row r="112" spans="1:7" ht="13.9" customHeight="1" x14ac:dyDescent="0.2">
      <c r="A112" s="220" t="s">
        <v>96</v>
      </c>
      <c r="B112" s="218">
        <v>2026</v>
      </c>
      <c r="C112" s="218" t="s">
        <v>2</v>
      </c>
      <c r="D112" s="212" t="s">
        <v>5</v>
      </c>
      <c r="E112" s="212" t="s">
        <v>128</v>
      </c>
      <c r="F112" s="212" t="s">
        <v>93</v>
      </c>
      <c r="G112" s="213">
        <v>2199820.3414014718</v>
      </c>
    </row>
    <row r="113" spans="1:7" ht="13.9" customHeight="1" x14ac:dyDescent="0.2">
      <c r="A113" s="220" t="s">
        <v>97</v>
      </c>
      <c r="B113" s="218">
        <v>2026</v>
      </c>
      <c r="C113" s="218" t="s">
        <v>2</v>
      </c>
      <c r="D113" s="212" t="s">
        <v>5</v>
      </c>
      <c r="E113" s="212" t="s">
        <v>128</v>
      </c>
      <c r="F113" s="212" t="s">
        <v>93</v>
      </c>
      <c r="G113" s="213">
        <v>2200896.2492160802</v>
      </c>
    </row>
    <row r="114" spans="1:7" ht="13.9" customHeight="1" x14ac:dyDescent="0.2">
      <c r="A114" s="220" t="s">
        <v>98</v>
      </c>
      <c r="B114" s="218">
        <v>2026</v>
      </c>
      <c r="C114" s="218" t="s">
        <v>2</v>
      </c>
      <c r="D114" s="212" t="s">
        <v>5</v>
      </c>
      <c r="E114" s="212" t="s">
        <v>128</v>
      </c>
      <c r="F114" s="212" t="s">
        <v>93</v>
      </c>
      <c r="G114" s="213">
        <v>41980166.552033141</v>
      </c>
    </row>
    <row r="115" spans="1:7" ht="13.9" customHeight="1" x14ac:dyDescent="0.2">
      <c r="A115" s="220" t="s">
        <v>99</v>
      </c>
      <c r="B115" s="218">
        <v>2026</v>
      </c>
      <c r="C115" s="218" t="s">
        <v>2</v>
      </c>
      <c r="D115" s="212" t="s">
        <v>5</v>
      </c>
      <c r="E115" s="212" t="s">
        <v>128</v>
      </c>
      <c r="F115" s="212" t="s">
        <v>93</v>
      </c>
      <c r="G115" s="213">
        <v>6960803.4790286636</v>
      </c>
    </row>
    <row r="116" spans="1:7" ht="13.9" customHeight="1" x14ac:dyDescent="0.2">
      <c r="A116" s="220" t="s">
        <v>100</v>
      </c>
      <c r="B116" s="218">
        <v>2026</v>
      </c>
      <c r="C116" s="218" t="s">
        <v>2</v>
      </c>
      <c r="D116" s="212" t="s">
        <v>5</v>
      </c>
      <c r="E116" s="212" t="s">
        <v>128</v>
      </c>
      <c r="F116" s="212" t="s">
        <v>93</v>
      </c>
      <c r="G116" s="213">
        <v>2367444.8130047042</v>
      </c>
    </row>
    <row r="117" spans="1:7" ht="13.9" customHeight="1" x14ac:dyDescent="0.2">
      <c r="A117" s="220" t="s">
        <v>101</v>
      </c>
      <c r="B117" s="218">
        <v>2026</v>
      </c>
      <c r="C117" s="218" t="s">
        <v>2</v>
      </c>
      <c r="D117" s="212" t="s">
        <v>5</v>
      </c>
      <c r="E117" s="212" t="s">
        <v>128</v>
      </c>
      <c r="F117" s="212" t="s">
        <v>93</v>
      </c>
      <c r="G117" s="213">
        <v>11186789.084472315</v>
      </c>
    </row>
    <row r="118" spans="1:7" ht="13.9" customHeight="1" x14ac:dyDescent="0.2">
      <c r="A118" s="220" t="s">
        <v>102</v>
      </c>
      <c r="B118" s="218">
        <v>2026</v>
      </c>
      <c r="C118" s="218" t="s">
        <v>2</v>
      </c>
      <c r="D118" s="212" t="s">
        <v>5</v>
      </c>
      <c r="E118" s="212" t="s">
        <v>128</v>
      </c>
      <c r="F118" s="212" t="s">
        <v>93</v>
      </c>
      <c r="G118" s="213">
        <v>8540349.7008952685</v>
      </c>
    </row>
    <row r="119" spans="1:7" ht="13.9" customHeight="1" x14ac:dyDescent="0.2">
      <c r="A119" s="220" t="s">
        <v>103</v>
      </c>
      <c r="B119" s="218">
        <v>2026</v>
      </c>
      <c r="C119" s="218" t="s">
        <v>2</v>
      </c>
      <c r="D119" s="212" t="s">
        <v>5</v>
      </c>
      <c r="E119" s="212" t="s">
        <v>128</v>
      </c>
      <c r="F119" s="212" t="s">
        <v>93</v>
      </c>
      <c r="G119" s="213">
        <v>3689605.7254248103</v>
      </c>
    </row>
    <row r="120" spans="1:7" ht="13.9" customHeight="1" x14ac:dyDescent="0.2">
      <c r="A120" s="220" t="s">
        <v>104</v>
      </c>
      <c r="B120" s="218">
        <v>2026</v>
      </c>
      <c r="C120" s="218" t="s">
        <v>2</v>
      </c>
      <c r="D120" s="212" t="s">
        <v>5</v>
      </c>
      <c r="E120" s="212" t="s">
        <v>128</v>
      </c>
      <c r="F120" s="212" t="s">
        <v>93</v>
      </c>
      <c r="G120" s="213">
        <v>7633556.6665072348</v>
      </c>
    </row>
    <row r="121" spans="1:7" ht="13.9" customHeight="1" x14ac:dyDescent="0.2">
      <c r="A121" s="220" t="s">
        <v>105</v>
      </c>
      <c r="B121" s="218">
        <v>2026</v>
      </c>
      <c r="C121" s="218" t="s">
        <v>2</v>
      </c>
      <c r="D121" s="212" t="s">
        <v>5</v>
      </c>
      <c r="E121" s="212" t="s">
        <v>128</v>
      </c>
      <c r="F121" s="212" t="s">
        <v>93</v>
      </c>
      <c r="G121" s="213">
        <v>669312.4379031253</v>
      </c>
    </row>
    <row r="122" spans="1:7" ht="13.9" customHeight="1" x14ac:dyDescent="0.2">
      <c r="A122" s="220" t="s">
        <v>106</v>
      </c>
      <c r="B122" s="218">
        <v>2026</v>
      </c>
      <c r="C122" s="218" t="s">
        <v>2</v>
      </c>
      <c r="D122" s="218" t="s">
        <v>6</v>
      </c>
      <c r="E122" s="218" t="s">
        <v>6</v>
      </c>
      <c r="F122" s="218" t="s">
        <v>93</v>
      </c>
      <c r="G122" s="222">
        <v>8201381.7196719497</v>
      </c>
    </row>
    <row r="123" spans="1:7" ht="13.9" customHeight="1" x14ac:dyDescent="0.2">
      <c r="A123" s="220" t="s">
        <v>107</v>
      </c>
      <c r="B123" s="218">
        <v>2026</v>
      </c>
      <c r="C123" s="218" t="s">
        <v>2</v>
      </c>
      <c r="D123" s="218" t="s">
        <v>6</v>
      </c>
      <c r="E123" s="218" t="s">
        <v>6</v>
      </c>
      <c r="F123" s="218" t="s">
        <v>93</v>
      </c>
      <c r="G123" s="222">
        <v>1119849.962845041</v>
      </c>
    </row>
    <row r="124" spans="1:7" ht="13.9" customHeight="1" x14ac:dyDescent="0.2">
      <c r="A124" s="220" t="s">
        <v>108</v>
      </c>
      <c r="B124" s="218">
        <v>2026</v>
      </c>
      <c r="C124" s="218" t="s">
        <v>2</v>
      </c>
      <c r="D124" s="218" t="s">
        <v>6</v>
      </c>
      <c r="E124" s="218" t="s">
        <v>6</v>
      </c>
      <c r="F124" s="218" t="s">
        <v>93</v>
      </c>
      <c r="G124" s="222">
        <v>8440779.4223962445</v>
      </c>
    </row>
    <row r="125" spans="1:7" ht="13.9" customHeight="1" x14ac:dyDescent="0.2">
      <c r="A125" s="220" t="s">
        <v>109</v>
      </c>
      <c r="B125" s="218">
        <v>2026</v>
      </c>
      <c r="C125" s="218" t="s">
        <v>2</v>
      </c>
      <c r="D125" s="218" t="s">
        <v>6</v>
      </c>
      <c r="E125" s="218" t="s">
        <v>6</v>
      </c>
      <c r="F125" s="218" t="s">
        <v>93</v>
      </c>
      <c r="G125" s="222">
        <v>3480478.4589789868</v>
      </c>
    </row>
    <row r="126" spans="1:7" ht="13.9" customHeight="1" x14ac:dyDescent="0.2">
      <c r="A126" s="220" t="s">
        <v>111</v>
      </c>
      <c r="B126" s="218">
        <v>2026</v>
      </c>
      <c r="C126" s="218" t="s">
        <v>2</v>
      </c>
      <c r="D126" s="218" t="s">
        <v>6</v>
      </c>
      <c r="E126" s="218" t="s">
        <v>6</v>
      </c>
      <c r="F126" s="218" t="s">
        <v>93</v>
      </c>
      <c r="G126" s="222">
        <v>6335404.0858337395</v>
      </c>
    </row>
    <row r="127" spans="1:7" ht="13.9" customHeight="1" x14ac:dyDescent="0.2">
      <c r="A127" s="220" t="s">
        <v>112</v>
      </c>
      <c r="B127" s="218">
        <v>2026</v>
      </c>
      <c r="C127" s="218" t="s">
        <v>2</v>
      </c>
      <c r="D127" s="218" t="s">
        <v>6</v>
      </c>
      <c r="E127" s="218" t="s">
        <v>6</v>
      </c>
      <c r="F127" s="218" t="s">
        <v>93</v>
      </c>
      <c r="G127" s="222">
        <v>27851631.959023084</v>
      </c>
    </row>
    <row r="128" spans="1:7" ht="13.9" customHeight="1" x14ac:dyDescent="0.2">
      <c r="A128" s="220" t="s">
        <v>113</v>
      </c>
      <c r="B128" s="218">
        <v>2026</v>
      </c>
      <c r="C128" s="218" t="s">
        <v>2</v>
      </c>
      <c r="D128" s="218" t="s">
        <v>6</v>
      </c>
      <c r="E128" s="218" t="s">
        <v>6</v>
      </c>
      <c r="F128" s="218" t="s">
        <v>93</v>
      </c>
      <c r="G128" s="222">
        <v>2865161.5438282336</v>
      </c>
    </row>
    <row r="129" spans="1:7" ht="13.9" customHeight="1" x14ac:dyDescent="0.2">
      <c r="A129" s="220" t="s">
        <v>114</v>
      </c>
      <c r="B129" s="218">
        <v>2026</v>
      </c>
      <c r="C129" s="218" t="s">
        <v>2</v>
      </c>
      <c r="D129" s="218" t="s">
        <v>6</v>
      </c>
      <c r="E129" s="218" t="s">
        <v>6</v>
      </c>
      <c r="F129" s="218" t="s">
        <v>93</v>
      </c>
      <c r="G129" s="222">
        <v>6311109.5564868934</v>
      </c>
    </row>
    <row r="130" spans="1:7" ht="13.9" customHeight="1" x14ac:dyDescent="0.2">
      <c r="A130" s="220" t="s">
        <v>110</v>
      </c>
      <c r="B130" s="218">
        <v>2026</v>
      </c>
      <c r="C130" s="218" t="s">
        <v>2</v>
      </c>
      <c r="D130" s="218" t="s">
        <v>6</v>
      </c>
      <c r="E130" s="218" t="s">
        <v>6</v>
      </c>
      <c r="F130" s="218" t="s">
        <v>93</v>
      </c>
      <c r="G130" s="222">
        <v>1568671.3374811981</v>
      </c>
    </row>
    <row r="131" spans="1:7" ht="13.9" customHeight="1" x14ac:dyDescent="0.2">
      <c r="A131" s="220" t="s">
        <v>95</v>
      </c>
      <c r="B131" s="218">
        <v>2026</v>
      </c>
      <c r="C131" s="218" t="s">
        <v>2</v>
      </c>
      <c r="D131" s="218" t="s">
        <v>6</v>
      </c>
      <c r="E131" s="218" t="s">
        <v>6</v>
      </c>
      <c r="F131" s="218" t="s">
        <v>93</v>
      </c>
      <c r="G131" s="222">
        <v>3068191.3952261643</v>
      </c>
    </row>
    <row r="132" spans="1:7" ht="13.9" customHeight="1" x14ac:dyDescent="0.2">
      <c r="A132" s="220" t="s">
        <v>96</v>
      </c>
      <c r="B132" s="218">
        <v>2026</v>
      </c>
      <c r="C132" s="218" t="s">
        <v>2</v>
      </c>
      <c r="D132" s="218" t="s">
        <v>6</v>
      </c>
      <c r="E132" s="218" t="s">
        <v>6</v>
      </c>
      <c r="F132" s="218" t="s">
        <v>93</v>
      </c>
      <c r="G132" s="222">
        <v>14057719.790068243</v>
      </c>
    </row>
    <row r="133" spans="1:7" ht="13.9" customHeight="1" x14ac:dyDescent="0.2">
      <c r="A133" s="220" t="s">
        <v>97</v>
      </c>
      <c r="B133" s="218">
        <v>2026</v>
      </c>
      <c r="C133" s="218" t="s">
        <v>2</v>
      </c>
      <c r="D133" s="218" t="s">
        <v>6</v>
      </c>
      <c r="E133" s="218" t="s">
        <v>6</v>
      </c>
      <c r="F133" s="218" t="s">
        <v>93</v>
      </c>
      <c r="G133" s="222">
        <v>4660521.5659891702</v>
      </c>
    </row>
    <row r="134" spans="1:7" ht="13.9" customHeight="1" x14ac:dyDescent="0.2">
      <c r="A134" s="220" t="s">
        <v>98</v>
      </c>
      <c r="B134" s="218">
        <v>2026</v>
      </c>
      <c r="C134" s="218" t="s">
        <v>2</v>
      </c>
      <c r="D134" s="218" t="s">
        <v>6</v>
      </c>
      <c r="E134" s="218" t="s">
        <v>6</v>
      </c>
      <c r="F134" s="218" t="s">
        <v>93</v>
      </c>
      <c r="G134" s="222">
        <v>15062403.798605053</v>
      </c>
    </row>
    <row r="135" spans="1:7" ht="13.9" customHeight="1" x14ac:dyDescent="0.2">
      <c r="A135" s="220" t="s">
        <v>99</v>
      </c>
      <c r="B135" s="218">
        <v>2026</v>
      </c>
      <c r="C135" s="218" t="s">
        <v>2</v>
      </c>
      <c r="D135" s="218" t="s">
        <v>6</v>
      </c>
      <c r="E135" s="218" t="s">
        <v>6</v>
      </c>
      <c r="F135" s="218" t="s">
        <v>93</v>
      </c>
      <c r="G135" s="222">
        <v>24051547.611710619</v>
      </c>
    </row>
    <row r="136" spans="1:7" ht="13.9" customHeight="1" x14ac:dyDescent="0.2">
      <c r="A136" s="220" t="s">
        <v>100</v>
      </c>
      <c r="B136" s="218">
        <v>2026</v>
      </c>
      <c r="C136" s="218" t="s">
        <v>2</v>
      </c>
      <c r="D136" s="218" t="s">
        <v>6</v>
      </c>
      <c r="E136" s="218" t="s">
        <v>6</v>
      </c>
      <c r="F136" s="218" t="s">
        <v>93</v>
      </c>
      <c r="G136" s="222">
        <v>3781657.1834419123</v>
      </c>
    </row>
    <row r="137" spans="1:7" ht="13.9" customHeight="1" x14ac:dyDescent="0.2">
      <c r="A137" s="220" t="s">
        <v>101</v>
      </c>
      <c r="B137" s="218">
        <v>2026</v>
      </c>
      <c r="C137" s="218" t="s">
        <v>2</v>
      </c>
      <c r="D137" s="218" t="s">
        <v>6</v>
      </c>
      <c r="E137" s="218" t="s">
        <v>6</v>
      </c>
      <c r="F137" s="218" t="s">
        <v>93</v>
      </c>
      <c r="G137" s="222">
        <v>14366589.319524646</v>
      </c>
    </row>
    <row r="138" spans="1:7" ht="13.9" customHeight="1" x14ac:dyDescent="0.2">
      <c r="A138" s="220" t="s">
        <v>102</v>
      </c>
      <c r="B138" s="218">
        <v>2026</v>
      </c>
      <c r="C138" s="218" t="s">
        <v>2</v>
      </c>
      <c r="D138" s="218" t="s">
        <v>6</v>
      </c>
      <c r="E138" s="218" t="s">
        <v>6</v>
      </c>
      <c r="F138" s="218" t="s">
        <v>93</v>
      </c>
      <c r="G138" s="222">
        <v>4504131.9912612159</v>
      </c>
    </row>
    <row r="139" spans="1:7" ht="13.9" customHeight="1" x14ac:dyDescent="0.2">
      <c r="A139" s="220" t="s">
        <v>103</v>
      </c>
      <c r="B139" s="218">
        <v>2026</v>
      </c>
      <c r="C139" s="218" t="s">
        <v>2</v>
      </c>
      <c r="D139" s="218" t="s">
        <v>6</v>
      </c>
      <c r="E139" s="218" t="s">
        <v>6</v>
      </c>
      <c r="F139" s="218" t="s">
        <v>93</v>
      </c>
      <c r="G139" s="222">
        <v>4426169.1645109896</v>
      </c>
    </row>
    <row r="140" spans="1:7" ht="13.9" customHeight="1" x14ac:dyDescent="0.2">
      <c r="A140" s="220" t="s">
        <v>104</v>
      </c>
      <c r="B140" s="218">
        <v>2026</v>
      </c>
      <c r="C140" s="218" t="s">
        <v>2</v>
      </c>
      <c r="D140" s="218" t="s">
        <v>6</v>
      </c>
      <c r="E140" s="218" t="s">
        <v>6</v>
      </c>
      <c r="F140" s="218" t="s">
        <v>93</v>
      </c>
      <c r="G140" s="222">
        <v>9808801.9648041744</v>
      </c>
    </row>
    <row r="141" spans="1:7" ht="13.9" customHeight="1" x14ac:dyDescent="0.2">
      <c r="A141" s="220" t="s">
        <v>105</v>
      </c>
      <c r="B141" s="218">
        <v>2026</v>
      </c>
      <c r="C141" s="218" t="s">
        <v>2</v>
      </c>
      <c r="D141" s="218" t="s">
        <v>6</v>
      </c>
      <c r="E141" s="218" t="s">
        <v>6</v>
      </c>
      <c r="F141" s="218" t="s">
        <v>93</v>
      </c>
      <c r="G141" s="222">
        <v>3367893.9198426898</v>
      </c>
    </row>
    <row r="142" spans="1:7" ht="13.9" customHeight="1" x14ac:dyDescent="0.2">
      <c r="A142" s="220" t="s">
        <v>106</v>
      </c>
      <c r="B142" s="218">
        <v>2026</v>
      </c>
      <c r="C142" s="218" t="s">
        <v>2</v>
      </c>
      <c r="D142" s="218" t="s">
        <v>129</v>
      </c>
      <c r="E142" s="221" t="s">
        <v>129</v>
      </c>
      <c r="F142" s="218" t="s">
        <v>93</v>
      </c>
      <c r="G142" s="222">
        <v>1048764.6600996603</v>
      </c>
    </row>
    <row r="143" spans="1:7" ht="13.9" customHeight="1" x14ac:dyDescent="0.2">
      <c r="A143" s="220" t="s">
        <v>107</v>
      </c>
      <c r="B143" s="218">
        <v>2026</v>
      </c>
      <c r="C143" s="218" t="s">
        <v>2</v>
      </c>
      <c r="D143" s="218" t="s">
        <v>129</v>
      </c>
      <c r="E143" s="221" t="s">
        <v>129</v>
      </c>
      <c r="F143" s="218" t="s">
        <v>93</v>
      </c>
      <c r="G143" s="222">
        <v>260636.49000000002</v>
      </c>
    </row>
    <row r="144" spans="1:7" ht="13.9" customHeight="1" x14ac:dyDescent="0.2">
      <c r="A144" s="220" t="s">
        <v>108</v>
      </c>
      <c r="B144" s="218">
        <v>2026</v>
      </c>
      <c r="C144" s="218" t="s">
        <v>2</v>
      </c>
      <c r="D144" s="218" t="s">
        <v>129</v>
      </c>
      <c r="E144" s="221" t="s">
        <v>129</v>
      </c>
      <c r="F144" s="218" t="s">
        <v>93</v>
      </c>
      <c r="G144" s="222">
        <v>4702476.43</v>
      </c>
    </row>
    <row r="145" spans="1:7" ht="13.9" customHeight="1" x14ac:dyDescent="0.2">
      <c r="A145" s="220" t="s">
        <v>109</v>
      </c>
      <c r="B145" s="218">
        <v>2026</v>
      </c>
      <c r="C145" s="218" t="s">
        <v>2</v>
      </c>
      <c r="D145" s="218" t="s">
        <v>129</v>
      </c>
      <c r="E145" s="221" t="s">
        <v>129</v>
      </c>
      <c r="F145" s="218" t="s">
        <v>93</v>
      </c>
      <c r="G145" s="222">
        <v>996326.33000000019</v>
      </c>
    </row>
    <row r="146" spans="1:7" ht="13.9" customHeight="1" x14ac:dyDescent="0.2">
      <c r="A146" s="220" t="s">
        <v>111</v>
      </c>
      <c r="B146" s="218">
        <v>2026</v>
      </c>
      <c r="C146" s="218" t="s">
        <v>2</v>
      </c>
      <c r="D146" s="218" t="s">
        <v>129</v>
      </c>
      <c r="E146" s="221" t="s">
        <v>129</v>
      </c>
      <c r="F146" s="218" t="s">
        <v>93</v>
      </c>
      <c r="G146" s="222">
        <v>2702002.7799999993</v>
      </c>
    </row>
    <row r="147" spans="1:7" ht="13.9" customHeight="1" x14ac:dyDescent="0.2">
      <c r="A147" s="220" t="s">
        <v>112</v>
      </c>
      <c r="B147" s="218">
        <v>2026</v>
      </c>
      <c r="C147" s="218" t="s">
        <v>2</v>
      </c>
      <c r="D147" s="218" t="s">
        <v>129</v>
      </c>
      <c r="E147" s="221" t="s">
        <v>129</v>
      </c>
      <c r="F147" s="218" t="s">
        <v>93</v>
      </c>
      <c r="G147" s="222">
        <v>5632190.0200000005</v>
      </c>
    </row>
    <row r="148" spans="1:7" ht="13.9" customHeight="1" x14ac:dyDescent="0.2">
      <c r="A148" s="220" t="s">
        <v>113</v>
      </c>
      <c r="B148" s="218">
        <v>2026</v>
      </c>
      <c r="C148" s="218" t="s">
        <v>2</v>
      </c>
      <c r="D148" s="218" t="s">
        <v>129</v>
      </c>
      <c r="E148" s="221" t="s">
        <v>129</v>
      </c>
      <c r="F148" s="218" t="s">
        <v>93</v>
      </c>
      <c r="G148" s="222">
        <v>1467898.7399999998</v>
      </c>
    </row>
    <row r="149" spans="1:7" ht="13.9" customHeight="1" x14ac:dyDescent="0.2">
      <c r="A149" s="220" t="s">
        <v>114</v>
      </c>
      <c r="B149" s="218">
        <v>2026</v>
      </c>
      <c r="C149" s="218" t="s">
        <v>2</v>
      </c>
      <c r="D149" s="218" t="s">
        <v>129</v>
      </c>
      <c r="E149" s="221" t="s">
        <v>129</v>
      </c>
      <c r="F149" s="218" t="s">
        <v>93</v>
      </c>
      <c r="G149" s="222">
        <v>1848137.0899999999</v>
      </c>
    </row>
    <row r="150" spans="1:7" ht="13.9" customHeight="1" x14ac:dyDescent="0.2">
      <c r="A150" s="220" t="s">
        <v>110</v>
      </c>
      <c r="B150" s="218">
        <v>2026</v>
      </c>
      <c r="C150" s="218" t="s">
        <v>2</v>
      </c>
      <c r="D150" s="218" t="s">
        <v>129</v>
      </c>
      <c r="E150" s="221" t="s">
        <v>129</v>
      </c>
      <c r="F150" s="218" t="s">
        <v>93</v>
      </c>
      <c r="G150" s="222">
        <v>2963529.16</v>
      </c>
    </row>
    <row r="151" spans="1:7" ht="13.9" customHeight="1" x14ac:dyDescent="0.2">
      <c r="A151" s="220" t="s">
        <v>95</v>
      </c>
      <c r="B151" s="218">
        <v>2026</v>
      </c>
      <c r="C151" s="218" t="s">
        <v>2</v>
      </c>
      <c r="D151" s="218" t="s">
        <v>129</v>
      </c>
      <c r="E151" s="221" t="s">
        <v>129</v>
      </c>
      <c r="F151" s="218" t="s">
        <v>93</v>
      </c>
      <c r="G151" s="222">
        <v>1384119.6600000001</v>
      </c>
    </row>
    <row r="152" spans="1:7" ht="13.9" customHeight="1" x14ac:dyDescent="0.2">
      <c r="A152" s="220" t="s">
        <v>96</v>
      </c>
      <c r="B152" s="218">
        <v>2026</v>
      </c>
      <c r="C152" s="218" t="s">
        <v>2</v>
      </c>
      <c r="D152" s="218" t="s">
        <v>129</v>
      </c>
      <c r="E152" s="221" t="s">
        <v>129</v>
      </c>
      <c r="F152" s="218" t="s">
        <v>93</v>
      </c>
      <c r="G152" s="222">
        <v>2853879.3399999989</v>
      </c>
    </row>
    <row r="153" spans="1:7" ht="13.9" customHeight="1" x14ac:dyDescent="0.2">
      <c r="A153" s="220" t="s">
        <v>97</v>
      </c>
      <c r="B153" s="218">
        <v>2026</v>
      </c>
      <c r="C153" s="218" t="s">
        <v>2</v>
      </c>
      <c r="D153" s="218" t="s">
        <v>129</v>
      </c>
      <c r="E153" s="221" t="s">
        <v>129</v>
      </c>
      <c r="F153" s="218" t="s">
        <v>93</v>
      </c>
      <c r="G153" s="222">
        <v>1619606.37</v>
      </c>
    </row>
    <row r="154" spans="1:7" ht="13.9" customHeight="1" x14ac:dyDescent="0.2">
      <c r="A154" s="220" t="s">
        <v>98</v>
      </c>
      <c r="B154" s="218">
        <v>2026</v>
      </c>
      <c r="C154" s="218" t="s">
        <v>2</v>
      </c>
      <c r="D154" s="218" t="s">
        <v>129</v>
      </c>
      <c r="E154" s="221" t="s">
        <v>129</v>
      </c>
      <c r="F154" s="218" t="s">
        <v>93</v>
      </c>
      <c r="G154" s="222">
        <v>5266270.68</v>
      </c>
    </row>
    <row r="155" spans="1:7" ht="13.9" customHeight="1" x14ac:dyDescent="0.2">
      <c r="A155" s="220" t="s">
        <v>99</v>
      </c>
      <c r="B155" s="218">
        <v>2026</v>
      </c>
      <c r="C155" s="218" t="s">
        <v>2</v>
      </c>
      <c r="D155" s="218" t="s">
        <v>129</v>
      </c>
      <c r="E155" s="221" t="s">
        <v>129</v>
      </c>
      <c r="F155" s="218" t="s">
        <v>93</v>
      </c>
      <c r="G155" s="222">
        <v>3362532.01</v>
      </c>
    </row>
    <row r="156" spans="1:7" ht="13.9" customHeight="1" x14ac:dyDescent="0.2">
      <c r="A156" s="220" t="s">
        <v>100</v>
      </c>
      <c r="B156" s="218">
        <v>2026</v>
      </c>
      <c r="C156" s="218" t="s">
        <v>2</v>
      </c>
      <c r="D156" s="218" t="s">
        <v>129</v>
      </c>
      <c r="E156" s="221" t="s">
        <v>129</v>
      </c>
      <c r="F156" s="218" t="s">
        <v>93</v>
      </c>
      <c r="G156" s="222">
        <v>1403417.2499999998</v>
      </c>
    </row>
    <row r="157" spans="1:7" ht="13.9" customHeight="1" x14ac:dyDescent="0.2">
      <c r="A157" s="220" t="s">
        <v>101</v>
      </c>
      <c r="B157" s="218">
        <v>2026</v>
      </c>
      <c r="C157" s="218" t="s">
        <v>2</v>
      </c>
      <c r="D157" s="218" t="s">
        <v>129</v>
      </c>
      <c r="E157" s="221" t="s">
        <v>129</v>
      </c>
      <c r="F157" s="218" t="s">
        <v>93</v>
      </c>
      <c r="G157" s="222">
        <v>5457525.75</v>
      </c>
    </row>
    <row r="158" spans="1:7" ht="13.9" customHeight="1" x14ac:dyDescent="0.2">
      <c r="A158" s="220" t="s">
        <v>102</v>
      </c>
      <c r="B158" s="218">
        <v>2026</v>
      </c>
      <c r="C158" s="218" t="s">
        <v>2</v>
      </c>
      <c r="D158" s="218" t="s">
        <v>129</v>
      </c>
      <c r="E158" s="221" t="s">
        <v>129</v>
      </c>
      <c r="F158" s="218" t="s">
        <v>93</v>
      </c>
      <c r="G158" s="222">
        <v>1861035.5</v>
      </c>
    </row>
    <row r="159" spans="1:7" ht="13.9" customHeight="1" x14ac:dyDescent="0.2">
      <c r="A159" s="220" t="s">
        <v>103</v>
      </c>
      <c r="B159" s="218">
        <v>2026</v>
      </c>
      <c r="C159" s="218" t="s">
        <v>2</v>
      </c>
      <c r="D159" s="218" t="s">
        <v>129</v>
      </c>
      <c r="E159" s="221" t="s">
        <v>129</v>
      </c>
      <c r="F159" s="218" t="s">
        <v>93</v>
      </c>
      <c r="G159" s="222">
        <v>2690284.1499999994</v>
      </c>
    </row>
    <row r="160" spans="1:7" ht="13.9" customHeight="1" x14ac:dyDescent="0.2">
      <c r="A160" s="220" t="s">
        <v>104</v>
      </c>
      <c r="B160" s="218">
        <v>2026</v>
      </c>
      <c r="C160" s="218" t="s">
        <v>2</v>
      </c>
      <c r="D160" s="218" t="s">
        <v>129</v>
      </c>
      <c r="E160" s="221" t="s">
        <v>129</v>
      </c>
      <c r="F160" s="218" t="s">
        <v>93</v>
      </c>
      <c r="G160" s="222">
        <v>2781646.8600000003</v>
      </c>
    </row>
    <row r="161" spans="1:7" ht="13.9" customHeight="1" x14ac:dyDescent="0.2">
      <c r="A161" s="220" t="s">
        <v>105</v>
      </c>
      <c r="B161" s="218">
        <v>2026</v>
      </c>
      <c r="C161" s="218" t="s">
        <v>2</v>
      </c>
      <c r="D161" s="218" t="s">
        <v>129</v>
      </c>
      <c r="E161" s="221" t="s">
        <v>129</v>
      </c>
      <c r="F161" s="218" t="s">
        <v>93</v>
      </c>
      <c r="G161" s="222">
        <v>1357891.28</v>
      </c>
    </row>
    <row r="162" spans="1:7" ht="13.9" customHeight="1" x14ac:dyDescent="0.2">
      <c r="A162" s="220" t="s">
        <v>106</v>
      </c>
      <c r="B162" s="218">
        <v>2026</v>
      </c>
      <c r="C162" s="218" t="s">
        <v>327</v>
      </c>
      <c r="D162" s="218" t="s">
        <v>115</v>
      </c>
      <c r="E162" s="221" t="s">
        <v>196</v>
      </c>
      <c r="F162" s="218" t="s">
        <v>115</v>
      </c>
      <c r="G162" s="222">
        <v>1313889</v>
      </c>
    </row>
    <row r="163" spans="1:7" ht="13.9" customHeight="1" x14ac:dyDescent="0.2">
      <c r="A163" s="220" t="s">
        <v>107</v>
      </c>
      <c r="B163" s="218">
        <v>2026</v>
      </c>
      <c r="C163" s="218" t="s">
        <v>327</v>
      </c>
      <c r="D163" s="218" t="s">
        <v>115</v>
      </c>
      <c r="E163" s="221" t="s">
        <v>196</v>
      </c>
      <c r="F163" s="218" t="s">
        <v>115</v>
      </c>
      <c r="G163" s="222">
        <v>264985</v>
      </c>
    </row>
    <row r="164" spans="1:7" ht="13.9" customHeight="1" x14ac:dyDescent="0.2">
      <c r="A164" s="220" t="s">
        <v>108</v>
      </c>
      <c r="B164" s="218">
        <v>2026</v>
      </c>
      <c r="C164" s="218" t="s">
        <v>327</v>
      </c>
      <c r="D164" s="218" t="s">
        <v>115</v>
      </c>
      <c r="E164" s="221" t="s">
        <v>196</v>
      </c>
      <c r="F164" s="218" t="s">
        <v>115</v>
      </c>
      <c r="G164" s="222">
        <v>3013150</v>
      </c>
    </row>
    <row r="165" spans="1:7" ht="13.9" customHeight="1" x14ac:dyDescent="0.2">
      <c r="A165" s="220" t="s">
        <v>109</v>
      </c>
      <c r="B165" s="218">
        <v>2026</v>
      </c>
      <c r="C165" s="218" t="s">
        <v>327</v>
      </c>
      <c r="D165" s="218" t="s">
        <v>115</v>
      </c>
      <c r="E165" s="221" t="s">
        <v>196</v>
      </c>
      <c r="F165" s="218" t="s">
        <v>115</v>
      </c>
      <c r="G165" s="222">
        <v>661000</v>
      </c>
    </row>
    <row r="166" spans="1:7" ht="13.9" customHeight="1" x14ac:dyDescent="0.2">
      <c r="A166" s="220" t="s">
        <v>111</v>
      </c>
      <c r="B166" s="218">
        <v>2026</v>
      </c>
      <c r="C166" s="218" t="s">
        <v>327</v>
      </c>
      <c r="D166" s="218" t="s">
        <v>115</v>
      </c>
      <c r="E166" s="221" t="s">
        <v>196</v>
      </c>
      <c r="F166" s="218" t="s">
        <v>115</v>
      </c>
      <c r="G166" s="222">
        <v>1366497</v>
      </c>
    </row>
    <row r="167" spans="1:7" ht="13.9" customHeight="1" x14ac:dyDescent="0.2">
      <c r="A167" s="220" t="s">
        <v>112</v>
      </c>
      <c r="B167" s="218">
        <v>2026</v>
      </c>
      <c r="C167" s="218" t="s">
        <v>327</v>
      </c>
      <c r="D167" s="218" t="s">
        <v>115</v>
      </c>
      <c r="E167" s="221" t="s">
        <v>196</v>
      </c>
      <c r="F167" s="218" t="s">
        <v>115</v>
      </c>
      <c r="G167" s="222">
        <v>6849474</v>
      </c>
    </row>
    <row r="168" spans="1:7" ht="13.9" customHeight="1" x14ac:dyDescent="0.2">
      <c r="A168" s="220" t="s">
        <v>113</v>
      </c>
      <c r="B168" s="218">
        <v>2026</v>
      </c>
      <c r="C168" s="218" t="s">
        <v>327</v>
      </c>
      <c r="D168" s="218" t="s">
        <v>115</v>
      </c>
      <c r="E168" s="221" t="s">
        <v>196</v>
      </c>
      <c r="F168" s="218" t="s">
        <v>115</v>
      </c>
      <c r="G168" s="222">
        <v>543587</v>
      </c>
    </row>
    <row r="169" spans="1:7" ht="13.9" customHeight="1" x14ac:dyDescent="0.2">
      <c r="A169" s="220" t="s">
        <v>114</v>
      </c>
      <c r="B169" s="218">
        <v>2026</v>
      </c>
      <c r="C169" s="218" t="s">
        <v>327</v>
      </c>
      <c r="D169" s="218" t="s">
        <v>115</v>
      </c>
      <c r="E169" s="221" t="s">
        <v>196</v>
      </c>
      <c r="F169" s="218" t="s">
        <v>115</v>
      </c>
      <c r="G169" s="222">
        <v>1133028</v>
      </c>
    </row>
    <row r="170" spans="1:7" ht="13.9" customHeight="1" x14ac:dyDescent="0.2">
      <c r="A170" s="220" t="s">
        <v>110</v>
      </c>
      <c r="B170" s="218">
        <v>2026</v>
      </c>
      <c r="C170" s="218" t="s">
        <v>327</v>
      </c>
      <c r="D170" s="218" t="s">
        <v>115</v>
      </c>
      <c r="E170" s="221" t="s">
        <v>196</v>
      </c>
      <c r="F170" s="218" t="s">
        <v>115</v>
      </c>
      <c r="G170" s="222">
        <v>265924</v>
      </c>
    </row>
    <row r="171" spans="1:7" ht="13.9" customHeight="1" x14ac:dyDescent="0.2">
      <c r="A171" s="220" t="s">
        <v>95</v>
      </c>
      <c r="B171" s="218">
        <v>2026</v>
      </c>
      <c r="C171" s="218" t="s">
        <v>327</v>
      </c>
      <c r="D171" s="218" t="s">
        <v>115</v>
      </c>
      <c r="E171" s="221" t="s">
        <v>196</v>
      </c>
      <c r="F171" s="218" t="s">
        <v>115</v>
      </c>
      <c r="G171" s="222">
        <v>839348</v>
      </c>
    </row>
    <row r="172" spans="1:7" ht="13.9" customHeight="1" x14ac:dyDescent="0.2">
      <c r="A172" s="220" t="s">
        <v>96</v>
      </c>
      <c r="B172" s="218">
        <v>2026</v>
      </c>
      <c r="C172" s="218" t="s">
        <v>327</v>
      </c>
      <c r="D172" s="218" t="s">
        <v>115</v>
      </c>
      <c r="E172" s="221" t="s">
        <v>196</v>
      </c>
      <c r="F172" s="218" t="s">
        <v>115</v>
      </c>
      <c r="G172" s="222">
        <v>1860806</v>
      </c>
    </row>
    <row r="173" spans="1:7" ht="13.9" customHeight="1" x14ac:dyDescent="0.2">
      <c r="A173" s="220" t="s">
        <v>97</v>
      </c>
      <c r="B173" s="218">
        <v>2026</v>
      </c>
      <c r="C173" s="218" t="s">
        <v>327</v>
      </c>
      <c r="D173" s="218" t="s">
        <v>115</v>
      </c>
      <c r="E173" s="221" t="s">
        <v>196</v>
      </c>
      <c r="F173" s="218" t="s">
        <v>115</v>
      </c>
      <c r="G173" s="222">
        <v>1524261</v>
      </c>
    </row>
    <row r="174" spans="1:7" ht="13.9" customHeight="1" x14ac:dyDescent="0.2">
      <c r="A174" s="220" t="s">
        <v>98</v>
      </c>
      <c r="B174" s="218">
        <v>2026</v>
      </c>
      <c r="C174" s="218" t="s">
        <v>327</v>
      </c>
      <c r="D174" s="218" t="s">
        <v>115</v>
      </c>
      <c r="E174" s="221" t="s">
        <v>196</v>
      </c>
      <c r="F174" s="218" t="s">
        <v>115</v>
      </c>
      <c r="G174" s="222">
        <v>6509725</v>
      </c>
    </row>
    <row r="175" spans="1:7" ht="13.9" customHeight="1" x14ac:dyDescent="0.2">
      <c r="A175" s="220" t="s">
        <v>99</v>
      </c>
      <c r="B175" s="218">
        <v>2026</v>
      </c>
      <c r="C175" s="218" t="s">
        <v>327</v>
      </c>
      <c r="D175" s="218" t="s">
        <v>115</v>
      </c>
      <c r="E175" s="221" t="s">
        <v>196</v>
      </c>
      <c r="F175" s="218" t="s">
        <v>115</v>
      </c>
      <c r="G175" s="222">
        <v>1558941</v>
      </c>
    </row>
    <row r="176" spans="1:7" ht="13.9" customHeight="1" x14ac:dyDescent="0.2">
      <c r="A176" s="220" t="s">
        <v>100</v>
      </c>
      <c r="B176" s="218">
        <v>2026</v>
      </c>
      <c r="C176" s="218" t="s">
        <v>327</v>
      </c>
      <c r="D176" s="218" t="s">
        <v>115</v>
      </c>
      <c r="E176" s="221" t="s">
        <v>196</v>
      </c>
      <c r="F176" s="218" t="s">
        <v>115</v>
      </c>
      <c r="G176" s="222">
        <v>502876</v>
      </c>
    </row>
    <row r="177" spans="1:7" ht="13.9" customHeight="1" x14ac:dyDescent="0.2">
      <c r="A177" s="220" t="s">
        <v>101</v>
      </c>
      <c r="B177" s="218">
        <v>2026</v>
      </c>
      <c r="C177" s="218" t="s">
        <v>327</v>
      </c>
      <c r="D177" s="218" t="s">
        <v>115</v>
      </c>
      <c r="E177" s="221" t="s">
        <v>196</v>
      </c>
      <c r="F177" s="218" t="s">
        <v>115</v>
      </c>
      <c r="G177" s="222">
        <v>3166901</v>
      </c>
    </row>
    <row r="178" spans="1:7" ht="13.9" customHeight="1" x14ac:dyDescent="0.2">
      <c r="A178" s="220" t="s">
        <v>102</v>
      </c>
      <c r="B178" s="218">
        <v>2026</v>
      </c>
      <c r="C178" s="218" t="s">
        <v>327</v>
      </c>
      <c r="D178" s="218" t="s">
        <v>115</v>
      </c>
      <c r="E178" s="221" t="s">
        <v>196</v>
      </c>
      <c r="F178" s="218" t="s">
        <v>115</v>
      </c>
      <c r="G178" s="222">
        <v>1759639</v>
      </c>
    </row>
    <row r="179" spans="1:7" ht="13.9" customHeight="1" x14ac:dyDescent="0.2">
      <c r="A179" s="220" t="s">
        <v>103</v>
      </c>
      <c r="B179" s="218">
        <v>2026</v>
      </c>
      <c r="C179" s="218" t="s">
        <v>327</v>
      </c>
      <c r="D179" s="218" t="s">
        <v>115</v>
      </c>
      <c r="E179" s="221" t="s">
        <v>196</v>
      </c>
      <c r="F179" s="218" t="s">
        <v>115</v>
      </c>
      <c r="G179" s="222">
        <v>1036975</v>
      </c>
    </row>
    <row r="180" spans="1:7" ht="13.9" customHeight="1" x14ac:dyDescent="0.2">
      <c r="A180" s="220" t="s">
        <v>104</v>
      </c>
      <c r="B180" s="218">
        <v>2026</v>
      </c>
      <c r="C180" s="218" t="s">
        <v>327</v>
      </c>
      <c r="D180" s="218" t="s">
        <v>115</v>
      </c>
      <c r="E180" s="221" t="s">
        <v>196</v>
      </c>
      <c r="F180" s="218" t="s">
        <v>115</v>
      </c>
      <c r="G180" s="222">
        <v>2937575</v>
      </c>
    </row>
    <row r="181" spans="1:7" ht="13.9" customHeight="1" x14ac:dyDescent="0.2">
      <c r="A181" s="220" t="s">
        <v>105</v>
      </c>
      <c r="B181" s="218">
        <v>2026</v>
      </c>
      <c r="C181" s="218" t="s">
        <v>327</v>
      </c>
      <c r="D181" s="218" t="s">
        <v>115</v>
      </c>
      <c r="E181" s="221" t="s">
        <v>196</v>
      </c>
      <c r="F181" s="218" t="s">
        <v>115</v>
      </c>
      <c r="G181" s="222">
        <v>832273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52"/>
  <sheetViews>
    <sheetView showGridLines="0" view="pageBreakPreview" topLeftCell="A24" zoomScale="90" zoomScaleNormal="90" zoomScaleSheetLayoutView="90" workbookViewId="0">
      <selection activeCell="E39" sqref="E39"/>
    </sheetView>
  </sheetViews>
  <sheetFormatPr baseColWidth="10" defaultColWidth="9.140625" defaultRowHeight="12.75" x14ac:dyDescent="0.25"/>
  <cols>
    <col min="1" max="1" width="1.28515625" style="22" customWidth="1"/>
    <col min="2" max="2" width="23.5703125" style="22" customWidth="1"/>
    <col min="3" max="3" width="2" style="22" customWidth="1"/>
    <col min="4" max="4" width="40.7109375" style="22" customWidth="1"/>
    <col min="5" max="5" width="17.7109375" style="22" customWidth="1"/>
    <col min="6" max="11" width="16.7109375" style="22" customWidth="1"/>
    <col min="12" max="12" width="2.42578125" style="22" customWidth="1"/>
    <col min="13" max="34" width="19" style="22" customWidth="1"/>
    <col min="35" max="258" width="9.140625" style="22"/>
    <col min="259" max="259" width="3.140625" style="22" customWidth="1"/>
    <col min="260" max="260" width="4.7109375" style="22" bestFit="1" customWidth="1"/>
    <col min="261" max="261" width="28.5703125" style="22" customWidth="1"/>
    <col min="262" max="262" width="32.28515625" style="22" customWidth="1"/>
    <col min="263" max="263" width="14.85546875" style="22" customWidth="1"/>
    <col min="264" max="264" width="15.7109375" style="22" customWidth="1"/>
    <col min="265" max="265" width="19.42578125" style="22" customWidth="1"/>
    <col min="266" max="266" width="18.5703125" style="22" customWidth="1"/>
    <col min="267" max="267" width="17.85546875" style="22" customWidth="1"/>
    <col min="268" max="290" width="19" style="22" customWidth="1"/>
    <col min="291" max="514" width="9.140625" style="22"/>
    <col min="515" max="515" width="3.140625" style="22" customWidth="1"/>
    <col min="516" max="516" width="4.7109375" style="22" bestFit="1" customWidth="1"/>
    <col min="517" max="517" width="28.5703125" style="22" customWidth="1"/>
    <col min="518" max="518" width="32.28515625" style="22" customWidth="1"/>
    <col min="519" max="519" width="14.85546875" style="22" customWidth="1"/>
    <col min="520" max="520" width="15.7109375" style="22" customWidth="1"/>
    <col min="521" max="521" width="19.42578125" style="22" customWidth="1"/>
    <col min="522" max="522" width="18.5703125" style="22" customWidth="1"/>
    <col min="523" max="523" width="17.85546875" style="22" customWidth="1"/>
    <col min="524" max="546" width="19" style="22" customWidth="1"/>
    <col min="547" max="770" width="9.140625" style="22"/>
    <col min="771" max="771" width="3.140625" style="22" customWidth="1"/>
    <col min="772" max="772" width="4.7109375" style="22" bestFit="1" customWidth="1"/>
    <col min="773" max="773" width="28.5703125" style="22" customWidth="1"/>
    <col min="774" max="774" width="32.28515625" style="22" customWidth="1"/>
    <col min="775" max="775" width="14.85546875" style="22" customWidth="1"/>
    <col min="776" max="776" width="15.7109375" style="22" customWidth="1"/>
    <col min="777" max="777" width="19.42578125" style="22" customWidth="1"/>
    <col min="778" max="778" width="18.5703125" style="22" customWidth="1"/>
    <col min="779" max="779" width="17.85546875" style="22" customWidth="1"/>
    <col min="780" max="802" width="19" style="22" customWidth="1"/>
    <col min="803" max="1026" width="9.140625" style="22"/>
    <col min="1027" max="1027" width="3.140625" style="22" customWidth="1"/>
    <col min="1028" max="1028" width="4.7109375" style="22" bestFit="1" customWidth="1"/>
    <col min="1029" max="1029" width="28.5703125" style="22" customWidth="1"/>
    <col min="1030" max="1030" width="32.28515625" style="22" customWidth="1"/>
    <col min="1031" max="1031" width="14.85546875" style="22" customWidth="1"/>
    <col min="1032" max="1032" width="15.7109375" style="22" customWidth="1"/>
    <col min="1033" max="1033" width="19.42578125" style="22" customWidth="1"/>
    <col min="1034" max="1034" width="18.5703125" style="22" customWidth="1"/>
    <col min="1035" max="1035" width="17.85546875" style="22" customWidth="1"/>
    <col min="1036" max="1058" width="19" style="22" customWidth="1"/>
    <col min="1059" max="1282" width="9.140625" style="22"/>
    <col min="1283" max="1283" width="3.140625" style="22" customWidth="1"/>
    <col min="1284" max="1284" width="4.7109375" style="22" bestFit="1" customWidth="1"/>
    <col min="1285" max="1285" width="28.5703125" style="22" customWidth="1"/>
    <col min="1286" max="1286" width="32.28515625" style="22" customWidth="1"/>
    <col min="1287" max="1287" width="14.85546875" style="22" customWidth="1"/>
    <col min="1288" max="1288" width="15.7109375" style="22" customWidth="1"/>
    <col min="1289" max="1289" width="19.42578125" style="22" customWidth="1"/>
    <col min="1290" max="1290" width="18.5703125" style="22" customWidth="1"/>
    <col min="1291" max="1291" width="17.85546875" style="22" customWidth="1"/>
    <col min="1292" max="1314" width="19" style="22" customWidth="1"/>
    <col min="1315" max="1538" width="9.140625" style="22"/>
    <col min="1539" max="1539" width="3.140625" style="22" customWidth="1"/>
    <col min="1540" max="1540" width="4.7109375" style="22" bestFit="1" customWidth="1"/>
    <col min="1541" max="1541" width="28.5703125" style="22" customWidth="1"/>
    <col min="1542" max="1542" width="32.28515625" style="22" customWidth="1"/>
    <col min="1543" max="1543" width="14.85546875" style="22" customWidth="1"/>
    <col min="1544" max="1544" width="15.7109375" style="22" customWidth="1"/>
    <col min="1545" max="1545" width="19.42578125" style="22" customWidth="1"/>
    <col min="1546" max="1546" width="18.5703125" style="22" customWidth="1"/>
    <col min="1547" max="1547" width="17.85546875" style="22" customWidth="1"/>
    <col min="1548" max="1570" width="19" style="22" customWidth="1"/>
    <col min="1571" max="1794" width="9.140625" style="22"/>
    <col min="1795" max="1795" width="3.140625" style="22" customWidth="1"/>
    <col min="1796" max="1796" width="4.7109375" style="22" bestFit="1" customWidth="1"/>
    <col min="1797" max="1797" width="28.5703125" style="22" customWidth="1"/>
    <col min="1798" max="1798" width="32.28515625" style="22" customWidth="1"/>
    <col min="1799" max="1799" width="14.85546875" style="22" customWidth="1"/>
    <col min="1800" max="1800" width="15.7109375" style="22" customWidth="1"/>
    <col min="1801" max="1801" width="19.42578125" style="22" customWidth="1"/>
    <col min="1802" max="1802" width="18.5703125" style="22" customWidth="1"/>
    <col min="1803" max="1803" width="17.85546875" style="22" customWidth="1"/>
    <col min="1804" max="1826" width="19" style="22" customWidth="1"/>
    <col min="1827" max="2050" width="9.140625" style="22"/>
    <col min="2051" max="2051" width="3.140625" style="22" customWidth="1"/>
    <col min="2052" max="2052" width="4.7109375" style="22" bestFit="1" customWidth="1"/>
    <col min="2053" max="2053" width="28.5703125" style="22" customWidth="1"/>
    <col min="2054" max="2054" width="32.28515625" style="22" customWidth="1"/>
    <col min="2055" max="2055" width="14.85546875" style="22" customWidth="1"/>
    <col min="2056" max="2056" width="15.7109375" style="22" customWidth="1"/>
    <col min="2057" max="2057" width="19.42578125" style="22" customWidth="1"/>
    <col min="2058" max="2058" width="18.5703125" style="22" customWidth="1"/>
    <col min="2059" max="2059" width="17.85546875" style="22" customWidth="1"/>
    <col min="2060" max="2082" width="19" style="22" customWidth="1"/>
    <col min="2083" max="2306" width="9.140625" style="22"/>
    <col min="2307" max="2307" width="3.140625" style="22" customWidth="1"/>
    <col min="2308" max="2308" width="4.7109375" style="22" bestFit="1" customWidth="1"/>
    <col min="2309" max="2309" width="28.5703125" style="22" customWidth="1"/>
    <col min="2310" max="2310" width="32.28515625" style="22" customWidth="1"/>
    <col min="2311" max="2311" width="14.85546875" style="22" customWidth="1"/>
    <col min="2312" max="2312" width="15.7109375" style="22" customWidth="1"/>
    <col min="2313" max="2313" width="19.42578125" style="22" customWidth="1"/>
    <col min="2314" max="2314" width="18.5703125" style="22" customWidth="1"/>
    <col min="2315" max="2315" width="17.85546875" style="22" customWidth="1"/>
    <col min="2316" max="2338" width="19" style="22" customWidth="1"/>
    <col min="2339" max="2562" width="9.140625" style="22"/>
    <col min="2563" max="2563" width="3.140625" style="22" customWidth="1"/>
    <col min="2564" max="2564" width="4.7109375" style="22" bestFit="1" customWidth="1"/>
    <col min="2565" max="2565" width="28.5703125" style="22" customWidth="1"/>
    <col min="2566" max="2566" width="32.28515625" style="22" customWidth="1"/>
    <col min="2567" max="2567" width="14.85546875" style="22" customWidth="1"/>
    <col min="2568" max="2568" width="15.7109375" style="22" customWidth="1"/>
    <col min="2569" max="2569" width="19.42578125" style="22" customWidth="1"/>
    <col min="2570" max="2570" width="18.5703125" style="22" customWidth="1"/>
    <col min="2571" max="2571" width="17.85546875" style="22" customWidth="1"/>
    <col min="2572" max="2594" width="19" style="22" customWidth="1"/>
    <col min="2595" max="2818" width="9.140625" style="22"/>
    <col min="2819" max="2819" width="3.140625" style="22" customWidth="1"/>
    <col min="2820" max="2820" width="4.7109375" style="22" bestFit="1" customWidth="1"/>
    <col min="2821" max="2821" width="28.5703125" style="22" customWidth="1"/>
    <col min="2822" max="2822" width="32.28515625" style="22" customWidth="1"/>
    <col min="2823" max="2823" width="14.85546875" style="22" customWidth="1"/>
    <col min="2824" max="2824" width="15.7109375" style="22" customWidth="1"/>
    <col min="2825" max="2825" width="19.42578125" style="22" customWidth="1"/>
    <col min="2826" max="2826" width="18.5703125" style="22" customWidth="1"/>
    <col min="2827" max="2827" width="17.85546875" style="22" customWidth="1"/>
    <col min="2828" max="2850" width="19" style="22" customWidth="1"/>
    <col min="2851" max="3074" width="9.140625" style="22"/>
    <col min="3075" max="3075" width="3.140625" style="22" customWidth="1"/>
    <col min="3076" max="3076" width="4.7109375" style="22" bestFit="1" customWidth="1"/>
    <col min="3077" max="3077" width="28.5703125" style="22" customWidth="1"/>
    <col min="3078" max="3078" width="32.28515625" style="22" customWidth="1"/>
    <col min="3079" max="3079" width="14.85546875" style="22" customWidth="1"/>
    <col min="3080" max="3080" width="15.7109375" style="22" customWidth="1"/>
    <col min="3081" max="3081" width="19.42578125" style="22" customWidth="1"/>
    <col min="3082" max="3082" width="18.5703125" style="22" customWidth="1"/>
    <col min="3083" max="3083" width="17.85546875" style="22" customWidth="1"/>
    <col min="3084" max="3106" width="19" style="22" customWidth="1"/>
    <col min="3107" max="3330" width="9.140625" style="22"/>
    <col min="3331" max="3331" width="3.140625" style="22" customWidth="1"/>
    <col min="3332" max="3332" width="4.7109375" style="22" bestFit="1" customWidth="1"/>
    <col min="3333" max="3333" width="28.5703125" style="22" customWidth="1"/>
    <col min="3334" max="3334" width="32.28515625" style="22" customWidth="1"/>
    <col min="3335" max="3335" width="14.85546875" style="22" customWidth="1"/>
    <col min="3336" max="3336" width="15.7109375" style="22" customWidth="1"/>
    <col min="3337" max="3337" width="19.42578125" style="22" customWidth="1"/>
    <col min="3338" max="3338" width="18.5703125" style="22" customWidth="1"/>
    <col min="3339" max="3339" width="17.85546875" style="22" customWidth="1"/>
    <col min="3340" max="3362" width="19" style="22" customWidth="1"/>
    <col min="3363" max="3586" width="9.140625" style="22"/>
    <col min="3587" max="3587" width="3.140625" style="22" customWidth="1"/>
    <col min="3588" max="3588" width="4.7109375" style="22" bestFit="1" customWidth="1"/>
    <col min="3589" max="3589" width="28.5703125" style="22" customWidth="1"/>
    <col min="3590" max="3590" width="32.28515625" style="22" customWidth="1"/>
    <col min="3591" max="3591" width="14.85546875" style="22" customWidth="1"/>
    <col min="3592" max="3592" width="15.7109375" style="22" customWidth="1"/>
    <col min="3593" max="3593" width="19.42578125" style="22" customWidth="1"/>
    <col min="3594" max="3594" width="18.5703125" style="22" customWidth="1"/>
    <col min="3595" max="3595" width="17.85546875" style="22" customWidth="1"/>
    <col min="3596" max="3618" width="19" style="22" customWidth="1"/>
    <col min="3619" max="3842" width="9.140625" style="22"/>
    <col min="3843" max="3843" width="3.140625" style="22" customWidth="1"/>
    <col min="3844" max="3844" width="4.7109375" style="22" bestFit="1" customWidth="1"/>
    <col min="3845" max="3845" width="28.5703125" style="22" customWidth="1"/>
    <col min="3846" max="3846" width="32.28515625" style="22" customWidth="1"/>
    <col min="3847" max="3847" width="14.85546875" style="22" customWidth="1"/>
    <col min="3848" max="3848" width="15.7109375" style="22" customWidth="1"/>
    <col min="3849" max="3849" width="19.42578125" style="22" customWidth="1"/>
    <col min="3850" max="3850" width="18.5703125" style="22" customWidth="1"/>
    <col min="3851" max="3851" width="17.85546875" style="22" customWidth="1"/>
    <col min="3852" max="3874" width="19" style="22" customWidth="1"/>
    <col min="3875" max="4098" width="9.140625" style="22"/>
    <col min="4099" max="4099" width="3.140625" style="22" customWidth="1"/>
    <col min="4100" max="4100" width="4.7109375" style="22" bestFit="1" customWidth="1"/>
    <col min="4101" max="4101" width="28.5703125" style="22" customWidth="1"/>
    <col min="4102" max="4102" width="32.28515625" style="22" customWidth="1"/>
    <col min="4103" max="4103" width="14.85546875" style="22" customWidth="1"/>
    <col min="4104" max="4104" width="15.7109375" style="22" customWidth="1"/>
    <col min="4105" max="4105" width="19.42578125" style="22" customWidth="1"/>
    <col min="4106" max="4106" width="18.5703125" style="22" customWidth="1"/>
    <col min="4107" max="4107" width="17.85546875" style="22" customWidth="1"/>
    <col min="4108" max="4130" width="19" style="22" customWidth="1"/>
    <col min="4131" max="4354" width="9.140625" style="22"/>
    <col min="4355" max="4355" width="3.140625" style="22" customWidth="1"/>
    <col min="4356" max="4356" width="4.7109375" style="22" bestFit="1" customWidth="1"/>
    <col min="4357" max="4357" width="28.5703125" style="22" customWidth="1"/>
    <col min="4358" max="4358" width="32.28515625" style="22" customWidth="1"/>
    <col min="4359" max="4359" width="14.85546875" style="22" customWidth="1"/>
    <col min="4360" max="4360" width="15.7109375" style="22" customWidth="1"/>
    <col min="4361" max="4361" width="19.42578125" style="22" customWidth="1"/>
    <col min="4362" max="4362" width="18.5703125" style="22" customWidth="1"/>
    <col min="4363" max="4363" width="17.85546875" style="22" customWidth="1"/>
    <col min="4364" max="4386" width="19" style="22" customWidth="1"/>
    <col min="4387" max="4610" width="9.140625" style="22"/>
    <col min="4611" max="4611" width="3.140625" style="22" customWidth="1"/>
    <col min="4612" max="4612" width="4.7109375" style="22" bestFit="1" customWidth="1"/>
    <col min="4613" max="4613" width="28.5703125" style="22" customWidth="1"/>
    <col min="4614" max="4614" width="32.28515625" style="22" customWidth="1"/>
    <col min="4615" max="4615" width="14.85546875" style="22" customWidth="1"/>
    <col min="4616" max="4616" width="15.7109375" style="22" customWidth="1"/>
    <col min="4617" max="4617" width="19.42578125" style="22" customWidth="1"/>
    <col min="4618" max="4618" width="18.5703125" style="22" customWidth="1"/>
    <col min="4619" max="4619" width="17.85546875" style="22" customWidth="1"/>
    <col min="4620" max="4642" width="19" style="22" customWidth="1"/>
    <col min="4643" max="4866" width="9.140625" style="22"/>
    <col min="4867" max="4867" width="3.140625" style="22" customWidth="1"/>
    <col min="4868" max="4868" width="4.7109375" style="22" bestFit="1" customWidth="1"/>
    <col min="4869" max="4869" width="28.5703125" style="22" customWidth="1"/>
    <col min="4870" max="4870" width="32.28515625" style="22" customWidth="1"/>
    <col min="4871" max="4871" width="14.85546875" style="22" customWidth="1"/>
    <col min="4872" max="4872" width="15.7109375" style="22" customWidth="1"/>
    <col min="4873" max="4873" width="19.42578125" style="22" customWidth="1"/>
    <col min="4874" max="4874" width="18.5703125" style="22" customWidth="1"/>
    <col min="4875" max="4875" width="17.85546875" style="22" customWidth="1"/>
    <col min="4876" max="4898" width="19" style="22" customWidth="1"/>
    <col min="4899" max="5122" width="9.140625" style="22"/>
    <col min="5123" max="5123" width="3.140625" style="22" customWidth="1"/>
    <col min="5124" max="5124" width="4.7109375" style="22" bestFit="1" customWidth="1"/>
    <col min="5125" max="5125" width="28.5703125" style="22" customWidth="1"/>
    <col min="5126" max="5126" width="32.28515625" style="22" customWidth="1"/>
    <col min="5127" max="5127" width="14.85546875" style="22" customWidth="1"/>
    <col min="5128" max="5128" width="15.7109375" style="22" customWidth="1"/>
    <col min="5129" max="5129" width="19.42578125" style="22" customWidth="1"/>
    <col min="5130" max="5130" width="18.5703125" style="22" customWidth="1"/>
    <col min="5131" max="5131" width="17.85546875" style="22" customWidth="1"/>
    <col min="5132" max="5154" width="19" style="22" customWidth="1"/>
    <col min="5155" max="5378" width="9.140625" style="22"/>
    <col min="5379" max="5379" width="3.140625" style="22" customWidth="1"/>
    <col min="5380" max="5380" width="4.7109375" style="22" bestFit="1" customWidth="1"/>
    <col min="5381" max="5381" width="28.5703125" style="22" customWidth="1"/>
    <col min="5382" max="5382" width="32.28515625" style="22" customWidth="1"/>
    <col min="5383" max="5383" width="14.85546875" style="22" customWidth="1"/>
    <col min="5384" max="5384" width="15.7109375" style="22" customWidth="1"/>
    <col min="5385" max="5385" width="19.42578125" style="22" customWidth="1"/>
    <col min="5386" max="5386" width="18.5703125" style="22" customWidth="1"/>
    <col min="5387" max="5387" width="17.85546875" style="22" customWidth="1"/>
    <col min="5388" max="5410" width="19" style="22" customWidth="1"/>
    <col min="5411" max="5634" width="9.140625" style="22"/>
    <col min="5635" max="5635" width="3.140625" style="22" customWidth="1"/>
    <col min="5636" max="5636" width="4.7109375" style="22" bestFit="1" customWidth="1"/>
    <col min="5637" max="5637" width="28.5703125" style="22" customWidth="1"/>
    <col min="5638" max="5638" width="32.28515625" style="22" customWidth="1"/>
    <col min="5639" max="5639" width="14.85546875" style="22" customWidth="1"/>
    <col min="5640" max="5640" width="15.7109375" style="22" customWidth="1"/>
    <col min="5641" max="5641" width="19.42578125" style="22" customWidth="1"/>
    <col min="5642" max="5642" width="18.5703125" style="22" customWidth="1"/>
    <col min="5643" max="5643" width="17.85546875" style="22" customWidth="1"/>
    <col min="5644" max="5666" width="19" style="22" customWidth="1"/>
    <col min="5667" max="5890" width="9.140625" style="22"/>
    <col min="5891" max="5891" width="3.140625" style="22" customWidth="1"/>
    <col min="5892" max="5892" width="4.7109375" style="22" bestFit="1" customWidth="1"/>
    <col min="5893" max="5893" width="28.5703125" style="22" customWidth="1"/>
    <col min="5894" max="5894" width="32.28515625" style="22" customWidth="1"/>
    <col min="5895" max="5895" width="14.85546875" style="22" customWidth="1"/>
    <col min="5896" max="5896" width="15.7109375" style="22" customWidth="1"/>
    <col min="5897" max="5897" width="19.42578125" style="22" customWidth="1"/>
    <col min="5898" max="5898" width="18.5703125" style="22" customWidth="1"/>
    <col min="5899" max="5899" width="17.85546875" style="22" customWidth="1"/>
    <col min="5900" max="5922" width="19" style="22" customWidth="1"/>
    <col min="5923" max="6146" width="9.140625" style="22"/>
    <col min="6147" max="6147" width="3.140625" style="22" customWidth="1"/>
    <col min="6148" max="6148" width="4.7109375" style="22" bestFit="1" customWidth="1"/>
    <col min="6149" max="6149" width="28.5703125" style="22" customWidth="1"/>
    <col min="6150" max="6150" width="32.28515625" style="22" customWidth="1"/>
    <col min="6151" max="6151" width="14.85546875" style="22" customWidth="1"/>
    <col min="6152" max="6152" width="15.7109375" style="22" customWidth="1"/>
    <col min="6153" max="6153" width="19.42578125" style="22" customWidth="1"/>
    <col min="6154" max="6154" width="18.5703125" style="22" customWidth="1"/>
    <col min="6155" max="6155" width="17.85546875" style="22" customWidth="1"/>
    <col min="6156" max="6178" width="19" style="22" customWidth="1"/>
    <col min="6179" max="6402" width="9.140625" style="22"/>
    <col min="6403" max="6403" width="3.140625" style="22" customWidth="1"/>
    <col min="6404" max="6404" width="4.7109375" style="22" bestFit="1" customWidth="1"/>
    <col min="6405" max="6405" width="28.5703125" style="22" customWidth="1"/>
    <col min="6406" max="6406" width="32.28515625" style="22" customWidth="1"/>
    <col min="6407" max="6407" width="14.85546875" style="22" customWidth="1"/>
    <col min="6408" max="6408" width="15.7109375" style="22" customWidth="1"/>
    <col min="6409" max="6409" width="19.42578125" style="22" customWidth="1"/>
    <col min="6410" max="6410" width="18.5703125" style="22" customWidth="1"/>
    <col min="6411" max="6411" width="17.85546875" style="22" customWidth="1"/>
    <col min="6412" max="6434" width="19" style="22" customWidth="1"/>
    <col min="6435" max="6658" width="9.140625" style="22"/>
    <col min="6659" max="6659" width="3.140625" style="22" customWidth="1"/>
    <col min="6660" max="6660" width="4.7109375" style="22" bestFit="1" customWidth="1"/>
    <col min="6661" max="6661" width="28.5703125" style="22" customWidth="1"/>
    <col min="6662" max="6662" width="32.28515625" style="22" customWidth="1"/>
    <col min="6663" max="6663" width="14.85546875" style="22" customWidth="1"/>
    <col min="6664" max="6664" width="15.7109375" style="22" customWidth="1"/>
    <col min="6665" max="6665" width="19.42578125" style="22" customWidth="1"/>
    <col min="6666" max="6666" width="18.5703125" style="22" customWidth="1"/>
    <col min="6667" max="6667" width="17.85546875" style="22" customWidth="1"/>
    <col min="6668" max="6690" width="19" style="22" customWidth="1"/>
    <col min="6691" max="6914" width="9.140625" style="22"/>
    <col min="6915" max="6915" width="3.140625" style="22" customWidth="1"/>
    <col min="6916" max="6916" width="4.7109375" style="22" bestFit="1" customWidth="1"/>
    <col min="6917" max="6917" width="28.5703125" style="22" customWidth="1"/>
    <col min="6918" max="6918" width="32.28515625" style="22" customWidth="1"/>
    <col min="6919" max="6919" width="14.85546875" style="22" customWidth="1"/>
    <col min="6920" max="6920" width="15.7109375" style="22" customWidth="1"/>
    <col min="6921" max="6921" width="19.42578125" style="22" customWidth="1"/>
    <col min="6922" max="6922" width="18.5703125" style="22" customWidth="1"/>
    <col min="6923" max="6923" width="17.85546875" style="22" customWidth="1"/>
    <col min="6924" max="6946" width="19" style="22" customWidth="1"/>
    <col min="6947" max="7170" width="9.140625" style="22"/>
    <col min="7171" max="7171" width="3.140625" style="22" customWidth="1"/>
    <col min="7172" max="7172" width="4.7109375" style="22" bestFit="1" customWidth="1"/>
    <col min="7173" max="7173" width="28.5703125" style="22" customWidth="1"/>
    <col min="7174" max="7174" width="32.28515625" style="22" customWidth="1"/>
    <col min="7175" max="7175" width="14.85546875" style="22" customWidth="1"/>
    <col min="7176" max="7176" width="15.7109375" style="22" customWidth="1"/>
    <col min="7177" max="7177" width="19.42578125" style="22" customWidth="1"/>
    <col min="7178" max="7178" width="18.5703125" style="22" customWidth="1"/>
    <col min="7179" max="7179" width="17.85546875" style="22" customWidth="1"/>
    <col min="7180" max="7202" width="19" style="22" customWidth="1"/>
    <col min="7203" max="7426" width="9.140625" style="22"/>
    <col min="7427" max="7427" width="3.140625" style="22" customWidth="1"/>
    <col min="7428" max="7428" width="4.7109375" style="22" bestFit="1" customWidth="1"/>
    <col min="7429" max="7429" width="28.5703125" style="22" customWidth="1"/>
    <col min="7430" max="7430" width="32.28515625" style="22" customWidth="1"/>
    <col min="7431" max="7431" width="14.85546875" style="22" customWidth="1"/>
    <col min="7432" max="7432" width="15.7109375" style="22" customWidth="1"/>
    <col min="7433" max="7433" width="19.42578125" style="22" customWidth="1"/>
    <col min="7434" max="7434" width="18.5703125" style="22" customWidth="1"/>
    <col min="7435" max="7435" width="17.85546875" style="22" customWidth="1"/>
    <col min="7436" max="7458" width="19" style="22" customWidth="1"/>
    <col min="7459" max="7682" width="9.140625" style="22"/>
    <col min="7683" max="7683" width="3.140625" style="22" customWidth="1"/>
    <col min="7684" max="7684" width="4.7109375" style="22" bestFit="1" customWidth="1"/>
    <col min="7685" max="7685" width="28.5703125" style="22" customWidth="1"/>
    <col min="7686" max="7686" width="32.28515625" style="22" customWidth="1"/>
    <col min="7687" max="7687" width="14.85546875" style="22" customWidth="1"/>
    <col min="7688" max="7688" width="15.7109375" style="22" customWidth="1"/>
    <col min="7689" max="7689" width="19.42578125" style="22" customWidth="1"/>
    <col min="7690" max="7690" width="18.5703125" style="22" customWidth="1"/>
    <col min="7691" max="7691" width="17.85546875" style="22" customWidth="1"/>
    <col min="7692" max="7714" width="19" style="22" customWidth="1"/>
    <col min="7715" max="7938" width="9.140625" style="22"/>
    <col min="7939" max="7939" width="3.140625" style="22" customWidth="1"/>
    <col min="7940" max="7940" width="4.7109375" style="22" bestFit="1" customWidth="1"/>
    <col min="7941" max="7941" width="28.5703125" style="22" customWidth="1"/>
    <col min="7942" max="7942" width="32.28515625" style="22" customWidth="1"/>
    <col min="7943" max="7943" width="14.85546875" style="22" customWidth="1"/>
    <col min="7944" max="7944" width="15.7109375" style="22" customWidth="1"/>
    <col min="7945" max="7945" width="19.42578125" style="22" customWidth="1"/>
    <col min="7946" max="7946" width="18.5703125" style="22" customWidth="1"/>
    <col min="7947" max="7947" width="17.85546875" style="22" customWidth="1"/>
    <col min="7948" max="7970" width="19" style="22" customWidth="1"/>
    <col min="7971" max="8194" width="9.140625" style="22"/>
    <col min="8195" max="8195" width="3.140625" style="22" customWidth="1"/>
    <col min="8196" max="8196" width="4.7109375" style="22" bestFit="1" customWidth="1"/>
    <col min="8197" max="8197" width="28.5703125" style="22" customWidth="1"/>
    <col min="8198" max="8198" width="32.28515625" style="22" customWidth="1"/>
    <col min="8199" max="8199" width="14.85546875" style="22" customWidth="1"/>
    <col min="8200" max="8200" width="15.7109375" style="22" customWidth="1"/>
    <col min="8201" max="8201" width="19.42578125" style="22" customWidth="1"/>
    <col min="8202" max="8202" width="18.5703125" style="22" customWidth="1"/>
    <col min="8203" max="8203" width="17.85546875" style="22" customWidth="1"/>
    <col min="8204" max="8226" width="19" style="22" customWidth="1"/>
    <col min="8227" max="8450" width="9.140625" style="22"/>
    <col min="8451" max="8451" width="3.140625" style="22" customWidth="1"/>
    <col min="8452" max="8452" width="4.7109375" style="22" bestFit="1" customWidth="1"/>
    <col min="8453" max="8453" width="28.5703125" style="22" customWidth="1"/>
    <col min="8454" max="8454" width="32.28515625" style="22" customWidth="1"/>
    <col min="8455" max="8455" width="14.85546875" style="22" customWidth="1"/>
    <col min="8456" max="8456" width="15.7109375" style="22" customWidth="1"/>
    <col min="8457" max="8457" width="19.42578125" style="22" customWidth="1"/>
    <col min="8458" max="8458" width="18.5703125" style="22" customWidth="1"/>
    <col min="8459" max="8459" width="17.85546875" style="22" customWidth="1"/>
    <col min="8460" max="8482" width="19" style="22" customWidth="1"/>
    <col min="8483" max="8706" width="9.140625" style="22"/>
    <col min="8707" max="8707" width="3.140625" style="22" customWidth="1"/>
    <col min="8708" max="8708" width="4.7109375" style="22" bestFit="1" customWidth="1"/>
    <col min="8709" max="8709" width="28.5703125" style="22" customWidth="1"/>
    <col min="8710" max="8710" width="32.28515625" style="22" customWidth="1"/>
    <col min="8711" max="8711" width="14.85546875" style="22" customWidth="1"/>
    <col min="8712" max="8712" width="15.7109375" style="22" customWidth="1"/>
    <col min="8713" max="8713" width="19.42578125" style="22" customWidth="1"/>
    <col min="8714" max="8714" width="18.5703125" style="22" customWidth="1"/>
    <col min="8715" max="8715" width="17.85546875" style="22" customWidth="1"/>
    <col min="8716" max="8738" width="19" style="22" customWidth="1"/>
    <col min="8739" max="8962" width="9.140625" style="22"/>
    <col min="8963" max="8963" width="3.140625" style="22" customWidth="1"/>
    <col min="8964" max="8964" width="4.7109375" style="22" bestFit="1" customWidth="1"/>
    <col min="8965" max="8965" width="28.5703125" style="22" customWidth="1"/>
    <col min="8966" max="8966" width="32.28515625" style="22" customWidth="1"/>
    <col min="8967" max="8967" width="14.85546875" style="22" customWidth="1"/>
    <col min="8968" max="8968" width="15.7109375" style="22" customWidth="1"/>
    <col min="8969" max="8969" width="19.42578125" style="22" customWidth="1"/>
    <col min="8970" max="8970" width="18.5703125" style="22" customWidth="1"/>
    <col min="8971" max="8971" width="17.85546875" style="22" customWidth="1"/>
    <col min="8972" max="8994" width="19" style="22" customWidth="1"/>
    <col min="8995" max="9218" width="9.140625" style="22"/>
    <col min="9219" max="9219" width="3.140625" style="22" customWidth="1"/>
    <col min="9220" max="9220" width="4.7109375" style="22" bestFit="1" customWidth="1"/>
    <col min="9221" max="9221" width="28.5703125" style="22" customWidth="1"/>
    <col min="9222" max="9222" width="32.28515625" style="22" customWidth="1"/>
    <col min="9223" max="9223" width="14.85546875" style="22" customWidth="1"/>
    <col min="9224" max="9224" width="15.7109375" style="22" customWidth="1"/>
    <col min="9225" max="9225" width="19.42578125" style="22" customWidth="1"/>
    <col min="9226" max="9226" width="18.5703125" style="22" customWidth="1"/>
    <col min="9227" max="9227" width="17.85546875" style="22" customWidth="1"/>
    <col min="9228" max="9250" width="19" style="22" customWidth="1"/>
    <col min="9251" max="9474" width="9.140625" style="22"/>
    <col min="9475" max="9475" width="3.140625" style="22" customWidth="1"/>
    <col min="9476" max="9476" width="4.7109375" style="22" bestFit="1" customWidth="1"/>
    <col min="9477" max="9477" width="28.5703125" style="22" customWidth="1"/>
    <col min="9478" max="9478" width="32.28515625" style="22" customWidth="1"/>
    <col min="9479" max="9479" width="14.85546875" style="22" customWidth="1"/>
    <col min="9480" max="9480" width="15.7109375" style="22" customWidth="1"/>
    <col min="9481" max="9481" width="19.42578125" style="22" customWidth="1"/>
    <col min="9482" max="9482" width="18.5703125" style="22" customWidth="1"/>
    <col min="9483" max="9483" width="17.85546875" style="22" customWidth="1"/>
    <col min="9484" max="9506" width="19" style="22" customWidth="1"/>
    <col min="9507" max="9730" width="9.140625" style="22"/>
    <col min="9731" max="9731" width="3.140625" style="22" customWidth="1"/>
    <col min="9732" max="9732" width="4.7109375" style="22" bestFit="1" customWidth="1"/>
    <col min="9733" max="9733" width="28.5703125" style="22" customWidth="1"/>
    <col min="9734" max="9734" width="32.28515625" style="22" customWidth="1"/>
    <col min="9735" max="9735" width="14.85546875" style="22" customWidth="1"/>
    <col min="9736" max="9736" width="15.7109375" style="22" customWidth="1"/>
    <col min="9737" max="9737" width="19.42578125" style="22" customWidth="1"/>
    <col min="9738" max="9738" width="18.5703125" style="22" customWidth="1"/>
    <col min="9739" max="9739" width="17.85546875" style="22" customWidth="1"/>
    <col min="9740" max="9762" width="19" style="22" customWidth="1"/>
    <col min="9763" max="9986" width="9.140625" style="22"/>
    <col min="9987" max="9987" width="3.140625" style="22" customWidth="1"/>
    <col min="9988" max="9988" width="4.7109375" style="22" bestFit="1" customWidth="1"/>
    <col min="9989" max="9989" width="28.5703125" style="22" customWidth="1"/>
    <col min="9990" max="9990" width="32.28515625" style="22" customWidth="1"/>
    <col min="9991" max="9991" width="14.85546875" style="22" customWidth="1"/>
    <col min="9992" max="9992" width="15.7109375" style="22" customWidth="1"/>
    <col min="9993" max="9993" width="19.42578125" style="22" customWidth="1"/>
    <col min="9994" max="9994" width="18.5703125" style="22" customWidth="1"/>
    <col min="9995" max="9995" width="17.85546875" style="22" customWidth="1"/>
    <col min="9996" max="10018" width="19" style="22" customWidth="1"/>
    <col min="10019" max="10242" width="9.140625" style="22"/>
    <col min="10243" max="10243" width="3.140625" style="22" customWidth="1"/>
    <col min="10244" max="10244" width="4.7109375" style="22" bestFit="1" customWidth="1"/>
    <col min="10245" max="10245" width="28.5703125" style="22" customWidth="1"/>
    <col min="10246" max="10246" width="32.28515625" style="22" customWidth="1"/>
    <col min="10247" max="10247" width="14.85546875" style="22" customWidth="1"/>
    <col min="10248" max="10248" width="15.7109375" style="22" customWidth="1"/>
    <col min="10249" max="10249" width="19.42578125" style="22" customWidth="1"/>
    <col min="10250" max="10250" width="18.5703125" style="22" customWidth="1"/>
    <col min="10251" max="10251" width="17.85546875" style="22" customWidth="1"/>
    <col min="10252" max="10274" width="19" style="22" customWidth="1"/>
    <col min="10275" max="10498" width="9.140625" style="22"/>
    <col min="10499" max="10499" width="3.140625" style="22" customWidth="1"/>
    <col min="10500" max="10500" width="4.7109375" style="22" bestFit="1" customWidth="1"/>
    <col min="10501" max="10501" width="28.5703125" style="22" customWidth="1"/>
    <col min="10502" max="10502" width="32.28515625" style="22" customWidth="1"/>
    <col min="10503" max="10503" width="14.85546875" style="22" customWidth="1"/>
    <col min="10504" max="10504" width="15.7109375" style="22" customWidth="1"/>
    <col min="10505" max="10505" width="19.42578125" style="22" customWidth="1"/>
    <col min="10506" max="10506" width="18.5703125" style="22" customWidth="1"/>
    <col min="10507" max="10507" width="17.85546875" style="22" customWidth="1"/>
    <col min="10508" max="10530" width="19" style="22" customWidth="1"/>
    <col min="10531" max="10754" width="9.140625" style="22"/>
    <col min="10755" max="10755" width="3.140625" style="22" customWidth="1"/>
    <col min="10756" max="10756" width="4.7109375" style="22" bestFit="1" customWidth="1"/>
    <col min="10757" max="10757" width="28.5703125" style="22" customWidth="1"/>
    <col min="10758" max="10758" width="32.28515625" style="22" customWidth="1"/>
    <col min="10759" max="10759" width="14.85546875" style="22" customWidth="1"/>
    <col min="10760" max="10760" width="15.7109375" style="22" customWidth="1"/>
    <col min="10761" max="10761" width="19.42578125" style="22" customWidth="1"/>
    <col min="10762" max="10762" width="18.5703125" style="22" customWidth="1"/>
    <col min="10763" max="10763" width="17.85546875" style="22" customWidth="1"/>
    <col min="10764" max="10786" width="19" style="22" customWidth="1"/>
    <col min="10787" max="11010" width="9.140625" style="22"/>
    <col min="11011" max="11011" width="3.140625" style="22" customWidth="1"/>
    <col min="11012" max="11012" width="4.7109375" style="22" bestFit="1" customWidth="1"/>
    <col min="11013" max="11013" width="28.5703125" style="22" customWidth="1"/>
    <col min="11014" max="11014" width="32.28515625" style="22" customWidth="1"/>
    <col min="11015" max="11015" width="14.85546875" style="22" customWidth="1"/>
    <col min="11016" max="11016" width="15.7109375" style="22" customWidth="1"/>
    <col min="11017" max="11017" width="19.42578125" style="22" customWidth="1"/>
    <col min="11018" max="11018" width="18.5703125" style="22" customWidth="1"/>
    <col min="11019" max="11019" width="17.85546875" style="22" customWidth="1"/>
    <col min="11020" max="11042" width="19" style="22" customWidth="1"/>
    <col min="11043" max="11266" width="9.140625" style="22"/>
    <col min="11267" max="11267" width="3.140625" style="22" customWidth="1"/>
    <col min="11268" max="11268" width="4.7109375" style="22" bestFit="1" customWidth="1"/>
    <col min="11269" max="11269" width="28.5703125" style="22" customWidth="1"/>
    <col min="11270" max="11270" width="32.28515625" style="22" customWidth="1"/>
    <col min="11271" max="11271" width="14.85546875" style="22" customWidth="1"/>
    <col min="11272" max="11272" width="15.7109375" style="22" customWidth="1"/>
    <col min="11273" max="11273" width="19.42578125" style="22" customWidth="1"/>
    <col min="11274" max="11274" width="18.5703125" style="22" customWidth="1"/>
    <col min="11275" max="11275" width="17.85546875" style="22" customWidth="1"/>
    <col min="11276" max="11298" width="19" style="22" customWidth="1"/>
    <col min="11299" max="11522" width="9.140625" style="22"/>
    <col min="11523" max="11523" width="3.140625" style="22" customWidth="1"/>
    <col min="11524" max="11524" width="4.7109375" style="22" bestFit="1" customWidth="1"/>
    <col min="11525" max="11525" width="28.5703125" style="22" customWidth="1"/>
    <col min="11526" max="11526" width="32.28515625" style="22" customWidth="1"/>
    <col min="11527" max="11527" width="14.85546875" style="22" customWidth="1"/>
    <col min="11528" max="11528" width="15.7109375" style="22" customWidth="1"/>
    <col min="11529" max="11529" width="19.42578125" style="22" customWidth="1"/>
    <col min="11530" max="11530" width="18.5703125" style="22" customWidth="1"/>
    <col min="11531" max="11531" width="17.85546875" style="22" customWidth="1"/>
    <col min="11532" max="11554" width="19" style="22" customWidth="1"/>
    <col min="11555" max="11778" width="9.140625" style="22"/>
    <col min="11779" max="11779" width="3.140625" style="22" customWidth="1"/>
    <col min="11780" max="11780" width="4.7109375" style="22" bestFit="1" customWidth="1"/>
    <col min="11781" max="11781" width="28.5703125" style="22" customWidth="1"/>
    <col min="11782" max="11782" width="32.28515625" style="22" customWidth="1"/>
    <col min="11783" max="11783" width="14.85546875" style="22" customWidth="1"/>
    <col min="11784" max="11784" width="15.7109375" style="22" customWidth="1"/>
    <col min="11785" max="11785" width="19.42578125" style="22" customWidth="1"/>
    <col min="11786" max="11786" width="18.5703125" style="22" customWidth="1"/>
    <col min="11787" max="11787" width="17.85546875" style="22" customWidth="1"/>
    <col min="11788" max="11810" width="19" style="22" customWidth="1"/>
    <col min="11811" max="12034" width="9.140625" style="22"/>
    <col min="12035" max="12035" width="3.140625" style="22" customWidth="1"/>
    <col min="12036" max="12036" width="4.7109375" style="22" bestFit="1" customWidth="1"/>
    <col min="12037" max="12037" width="28.5703125" style="22" customWidth="1"/>
    <col min="12038" max="12038" width="32.28515625" style="22" customWidth="1"/>
    <col min="12039" max="12039" width="14.85546875" style="22" customWidth="1"/>
    <col min="12040" max="12040" width="15.7109375" style="22" customWidth="1"/>
    <col min="12041" max="12041" width="19.42578125" style="22" customWidth="1"/>
    <col min="12042" max="12042" width="18.5703125" style="22" customWidth="1"/>
    <col min="12043" max="12043" width="17.85546875" style="22" customWidth="1"/>
    <col min="12044" max="12066" width="19" style="22" customWidth="1"/>
    <col min="12067" max="12290" width="9.140625" style="22"/>
    <col min="12291" max="12291" width="3.140625" style="22" customWidth="1"/>
    <col min="12292" max="12292" width="4.7109375" style="22" bestFit="1" customWidth="1"/>
    <col min="12293" max="12293" width="28.5703125" style="22" customWidth="1"/>
    <col min="12294" max="12294" width="32.28515625" style="22" customWidth="1"/>
    <col min="12295" max="12295" width="14.85546875" style="22" customWidth="1"/>
    <col min="12296" max="12296" width="15.7109375" style="22" customWidth="1"/>
    <col min="12297" max="12297" width="19.42578125" style="22" customWidth="1"/>
    <col min="12298" max="12298" width="18.5703125" style="22" customWidth="1"/>
    <col min="12299" max="12299" width="17.85546875" style="22" customWidth="1"/>
    <col min="12300" max="12322" width="19" style="22" customWidth="1"/>
    <col min="12323" max="12546" width="9.140625" style="22"/>
    <col min="12547" max="12547" width="3.140625" style="22" customWidth="1"/>
    <col min="12548" max="12548" width="4.7109375" style="22" bestFit="1" customWidth="1"/>
    <col min="12549" max="12549" width="28.5703125" style="22" customWidth="1"/>
    <col min="12550" max="12550" width="32.28515625" style="22" customWidth="1"/>
    <col min="12551" max="12551" width="14.85546875" style="22" customWidth="1"/>
    <col min="12552" max="12552" width="15.7109375" style="22" customWidth="1"/>
    <col min="12553" max="12553" width="19.42578125" style="22" customWidth="1"/>
    <col min="12554" max="12554" width="18.5703125" style="22" customWidth="1"/>
    <col min="12555" max="12555" width="17.85546875" style="22" customWidth="1"/>
    <col min="12556" max="12578" width="19" style="22" customWidth="1"/>
    <col min="12579" max="12802" width="9.140625" style="22"/>
    <col min="12803" max="12803" width="3.140625" style="22" customWidth="1"/>
    <col min="12804" max="12804" width="4.7109375" style="22" bestFit="1" customWidth="1"/>
    <col min="12805" max="12805" width="28.5703125" style="22" customWidth="1"/>
    <col min="12806" max="12806" width="32.28515625" style="22" customWidth="1"/>
    <col min="12807" max="12807" width="14.85546875" style="22" customWidth="1"/>
    <col min="12808" max="12808" width="15.7109375" style="22" customWidth="1"/>
    <col min="12809" max="12809" width="19.42578125" style="22" customWidth="1"/>
    <col min="12810" max="12810" width="18.5703125" style="22" customWidth="1"/>
    <col min="12811" max="12811" width="17.85546875" style="22" customWidth="1"/>
    <col min="12812" max="12834" width="19" style="22" customWidth="1"/>
    <col min="12835" max="13058" width="9.140625" style="22"/>
    <col min="13059" max="13059" width="3.140625" style="22" customWidth="1"/>
    <col min="13060" max="13060" width="4.7109375" style="22" bestFit="1" customWidth="1"/>
    <col min="13061" max="13061" width="28.5703125" style="22" customWidth="1"/>
    <col min="13062" max="13062" width="32.28515625" style="22" customWidth="1"/>
    <col min="13063" max="13063" width="14.85546875" style="22" customWidth="1"/>
    <col min="13064" max="13064" width="15.7109375" style="22" customWidth="1"/>
    <col min="13065" max="13065" width="19.42578125" style="22" customWidth="1"/>
    <col min="13066" max="13066" width="18.5703125" style="22" customWidth="1"/>
    <col min="13067" max="13067" width="17.85546875" style="22" customWidth="1"/>
    <col min="13068" max="13090" width="19" style="22" customWidth="1"/>
    <col min="13091" max="13314" width="9.140625" style="22"/>
    <col min="13315" max="13315" width="3.140625" style="22" customWidth="1"/>
    <col min="13316" max="13316" width="4.7109375" style="22" bestFit="1" customWidth="1"/>
    <col min="13317" max="13317" width="28.5703125" style="22" customWidth="1"/>
    <col min="13318" max="13318" width="32.28515625" style="22" customWidth="1"/>
    <col min="13319" max="13319" width="14.85546875" style="22" customWidth="1"/>
    <col min="13320" max="13320" width="15.7109375" style="22" customWidth="1"/>
    <col min="13321" max="13321" width="19.42578125" style="22" customWidth="1"/>
    <col min="13322" max="13322" width="18.5703125" style="22" customWidth="1"/>
    <col min="13323" max="13323" width="17.85546875" style="22" customWidth="1"/>
    <col min="13324" max="13346" width="19" style="22" customWidth="1"/>
    <col min="13347" max="13570" width="9.140625" style="22"/>
    <col min="13571" max="13571" width="3.140625" style="22" customWidth="1"/>
    <col min="13572" max="13572" width="4.7109375" style="22" bestFit="1" customWidth="1"/>
    <col min="13573" max="13573" width="28.5703125" style="22" customWidth="1"/>
    <col min="13574" max="13574" width="32.28515625" style="22" customWidth="1"/>
    <col min="13575" max="13575" width="14.85546875" style="22" customWidth="1"/>
    <col min="13576" max="13576" width="15.7109375" style="22" customWidth="1"/>
    <col min="13577" max="13577" width="19.42578125" style="22" customWidth="1"/>
    <col min="13578" max="13578" width="18.5703125" style="22" customWidth="1"/>
    <col min="13579" max="13579" width="17.85546875" style="22" customWidth="1"/>
    <col min="13580" max="13602" width="19" style="22" customWidth="1"/>
    <col min="13603" max="13826" width="9.140625" style="22"/>
    <col min="13827" max="13827" width="3.140625" style="22" customWidth="1"/>
    <col min="13828" max="13828" width="4.7109375" style="22" bestFit="1" customWidth="1"/>
    <col min="13829" max="13829" width="28.5703125" style="22" customWidth="1"/>
    <col min="13830" max="13830" width="32.28515625" style="22" customWidth="1"/>
    <col min="13831" max="13831" width="14.85546875" style="22" customWidth="1"/>
    <col min="13832" max="13832" width="15.7109375" style="22" customWidth="1"/>
    <col min="13833" max="13833" width="19.42578125" style="22" customWidth="1"/>
    <col min="13834" max="13834" width="18.5703125" style="22" customWidth="1"/>
    <col min="13835" max="13835" width="17.85546875" style="22" customWidth="1"/>
    <col min="13836" max="13858" width="19" style="22" customWidth="1"/>
    <col min="13859" max="14082" width="9.140625" style="22"/>
    <col min="14083" max="14083" width="3.140625" style="22" customWidth="1"/>
    <col min="14084" max="14084" width="4.7109375" style="22" bestFit="1" customWidth="1"/>
    <col min="14085" max="14085" width="28.5703125" style="22" customWidth="1"/>
    <col min="14086" max="14086" width="32.28515625" style="22" customWidth="1"/>
    <col min="14087" max="14087" width="14.85546875" style="22" customWidth="1"/>
    <col min="14088" max="14088" width="15.7109375" style="22" customWidth="1"/>
    <col min="14089" max="14089" width="19.42578125" style="22" customWidth="1"/>
    <col min="14090" max="14090" width="18.5703125" style="22" customWidth="1"/>
    <col min="14091" max="14091" width="17.85546875" style="22" customWidth="1"/>
    <col min="14092" max="14114" width="19" style="22" customWidth="1"/>
    <col min="14115" max="14338" width="9.140625" style="22"/>
    <col min="14339" max="14339" width="3.140625" style="22" customWidth="1"/>
    <col min="14340" max="14340" width="4.7109375" style="22" bestFit="1" customWidth="1"/>
    <col min="14341" max="14341" width="28.5703125" style="22" customWidth="1"/>
    <col min="14342" max="14342" width="32.28515625" style="22" customWidth="1"/>
    <col min="14343" max="14343" width="14.85546875" style="22" customWidth="1"/>
    <col min="14344" max="14344" width="15.7109375" style="22" customWidth="1"/>
    <col min="14345" max="14345" width="19.42578125" style="22" customWidth="1"/>
    <col min="14346" max="14346" width="18.5703125" style="22" customWidth="1"/>
    <col min="14347" max="14347" width="17.85546875" style="22" customWidth="1"/>
    <col min="14348" max="14370" width="19" style="22" customWidth="1"/>
    <col min="14371" max="14594" width="9.140625" style="22"/>
    <col min="14595" max="14595" width="3.140625" style="22" customWidth="1"/>
    <col min="14596" max="14596" width="4.7109375" style="22" bestFit="1" customWidth="1"/>
    <col min="14597" max="14597" width="28.5703125" style="22" customWidth="1"/>
    <col min="14598" max="14598" width="32.28515625" style="22" customWidth="1"/>
    <col min="14599" max="14599" width="14.85546875" style="22" customWidth="1"/>
    <col min="14600" max="14600" width="15.7109375" style="22" customWidth="1"/>
    <col min="14601" max="14601" width="19.42578125" style="22" customWidth="1"/>
    <col min="14602" max="14602" width="18.5703125" style="22" customWidth="1"/>
    <col min="14603" max="14603" width="17.85546875" style="22" customWidth="1"/>
    <col min="14604" max="14626" width="19" style="22" customWidth="1"/>
    <col min="14627" max="14850" width="9.140625" style="22"/>
    <col min="14851" max="14851" width="3.140625" style="22" customWidth="1"/>
    <col min="14852" max="14852" width="4.7109375" style="22" bestFit="1" customWidth="1"/>
    <col min="14853" max="14853" width="28.5703125" style="22" customWidth="1"/>
    <col min="14854" max="14854" width="32.28515625" style="22" customWidth="1"/>
    <col min="14855" max="14855" width="14.85546875" style="22" customWidth="1"/>
    <col min="14856" max="14856" width="15.7109375" style="22" customWidth="1"/>
    <col min="14857" max="14857" width="19.42578125" style="22" customWidth="1"/>
    <col min="14858" max="14858" width="18.5703125" style="22" customWidth="1"/>
    <col min="14859" max="14859" width="17.85546875" style="22" customWidth="1"/>
    <col min="14860" max="14882" width="19" style="22" customWidth="1"/>
    <col min="14883" max="15106" width="9.140625" style="22"/>
    <col min="15107" max="15107" width="3.140625" style="22" customWidth="1"/>
    <col min="15108" max="15108" width="4.7109375" style="22" bestFit="1" customWidth="1"/>
    <col min="15109" max="15109" width="28.5703125" style="22" customWidth="1"/>
    <col min="15110" max="15110" width="32.28515625" style="22" customWidth="1"/>
    <col min="15111" max="15111" width="14.85546875" style="22" customWidth="1"/>
    <col min="15112" max="15112" width="15.7109375" style="22" customWidth="1"/>
    <col min="15113" max="15113" width="19.42578125" style="22" customWidth="1"/>
    <col min="15114" max="15114" width="18.5703125" style="22" customWidth="1"/>
    <col min="15115" max="15115" width="17.85546875" style="22" customWidth="1"/>
    <col min="15116" max="15138" width="19" style="22" customWidth="1"/>
    <col min="15139" max="15362" width="9.140625" style="22"/>
    <col min="15363" max="15363" width="3.140625" style="22" customWidth="1"/>
    <col min="15364" max="15364" width="4.7109375" style="22" bestFit="1" customWidth="1"/>
    <col min="15365" max="15365" width="28.5703125" style="22" customWidth="1"/>
    <col min="15366" max="15366" width="32.28515625" style="22" customWidth="1"/>
    <col min="15367" max="15367" width="14.85546875" style="22" customWidth="1"/>
    <col min="15368" max="15368" width="15.7109375" style="22" customWidth="1"/>
    <col min="15369" max="15369" width="19.42578125" style="22" customWidth="1"/>
    <col min="15370" max="15370" width="18.5703125" style="22" customWidth="1"/>
    <col min="15371" max="15371" width="17.85546875" style="22" customWidth="1"/>
    <col min="15372" max="15394" width="19" style="22" customWidth="1"/>
    <col min="15395" max="15618" width="9.140625" style="22"/>
    <col min="15619" max="15619" width="3.140625" style="22" customWidth="1"/>
    <col min="15620" max="15620" width="4.7109375" style="22" bestFit="1" customWidth="1"/>
    <col min="15621" max="15621" width="28.5703125" style="22" customWidth="1"/>
    <col min="15622" max="15622" width="32.28515625" style="22" customWidth="1"/>
    <col min="15623" max="15623" width="14.85546875" style="22" customWidth="1"/>
    <col min="15624" max="15624" width="15.7109375" style="22" customWidth="1"/>
    <col min="15625" max="15625" width="19.42578125" style="22" customWidth="1"/>
    <col min="15626" max="15626" width="18.5703125" style="22" customWidth="1"/>
    <col min="15627" max="15627" width="17.85546875" style="22" customWidth="1"/>
    <col min="15628" max="15650" width="19" style="22" customWidth="1"/>
    <col min="15651" max="15874" width="9.140625" style="22"/>
    <col min="15875" max="15875" width="3.140625" style="22" customWidth="1"/>
    <col min="15876" max="15876" width="4.7109375" style="22" bestFit="1" customWidth="1"/>
    <col min="15877" max="15877" width="28.5703125" style="22" customWidth="1"/>
    <col min="15878" max="15878" width="32.28515625" style="22" customWidth="1"/>
    <col min="15879" max="15879" width="14.85546875" style="22" customWidth="1"/>
    <col min="15880" max="15880" width="15.7109375" style="22" customWidth="1"/>
    <col min="15881" max="15881" width="19.42578125" style="22" customWidth="1"/>
    <col min="15882" max="15882" width="18.5703125" style="22" customWidth="1"/>
    <col min="15883" max="15883" width="17.85546875" style="22" customWidth="1"/>
    <col min="15884" max="15906" width="19" style="22" customWidth="1"/>
    <col min="15907" max="16130" width="9.140625" style="22"/>
    <col min="16131" max="16131" width="3.140625" style="22" customWidth="1"/>
    <col min="16132" max="16132" width="4.7109375" style="22" bestFit="1" customWidth="1"/>
    <col min="16133" max="16133" width="28.5703125" style="22" customWidth="1"/>
    <col min="16134" max="16134" width="32.28515625" style="22" customWidth="1"/>
    <col min="16135" max="16135" width="14.85546875" style="22" customWidth="1"/>
    <col min="16136" max="16136" width="15.7109375" style="22" customWidth="1"/>
    <col min="16137" max="16137" width="19.42578125" style="22" customWidth="1"/>
    <col min="16138" max="16138" width="18.5703125" style="22" customWidth="1"/>
    <col min="16139" max="16139" width="17.85546875" style="22" customWidth="1"/>
    <col min="16140" max="16162" width="19" style="22" customWidth="1"/>
    <col min="16163" max="16384" width="9.140625" style="22"/>
  </cols>
  <sheetData>
    <row r="1" spans="1:12" x14ac:dyDescent="0.25">
      <c r="A1" s="85"/>
      <c r="B1" s="70" t="s">
        <v>301</v>
      </c>
      <c r="C1" s="70"/>
      <c r="D1" s="70"/>
      <c r="E1" s="70"/>
      <c r="F1" s="70"/>
      <c r="G1" s="70"/>
      <c r="H1" s="70"/>
      <c r="I1" s="85"/>
      <c r="J1" s="85"/>
      <c r="K1" s="85"/>
      <c r="L1" s="71"/>
    </row>
    <row r="2" spans="1:12" x14ac:dyDescent="0.25">
      <c r="A2" s="85"/>
      <c r="B2" s="70" t="s">
        <v>303</v>
      </c>
      <c r="C2" s="70"/>
      <c r="D2" s="70"/>
      <c r="E2" s="70"/>
      <c r="F2" s="70"/>
      <c r="G2" s="70"/>
      <c r="H2" s="70"/>
      <c r="I2" s="85"/>
      <c r="J2" s="85"/>
      <c r="K2" s="85"/>
      <c r="L2" s="86"/>
    </row>
    <row r="3" spans="1:12" x14ac:dyDescent="0.25">
      <c r="A3" s="85"/>
      <c r="B3" s="70" t="s">
        <v>313</v>
      </c>
      <c r="C3" s="70"/>
      <c r="D3" s="70"/>
      <c r="E3" s="70"/>
      <c r="F3" s="70"/>
      <c r="G3" s="70"/>
      <c r="H3" s="70"/>
      <c r="I3" s="85"/>
      <c r="J3" s="85"/>
      <c r="K3" s="85"/>
      <c r="L3" s="71"/>
    </row>
    <row r="4" spans="1:12" ht="11.25" customHeight="1" thickBot="1" x14ac:dyDescent="0.3">
      <c r="A4" s="85"/>
      <c r="B4" s="70"/>
      <c r="C4" s="70"/>
      <c r="D4" s="70"/>
      <c r="E4" s="70"/>
      <c r="F4" s="70"/>
      <c r="G4" s="70"/>
      <c r="H4" s="70"/>
      <c r="I4" s="85"/>
      <c r="J4" s="85"/>
      <c r="K4" s="85"/>
      <c r="L4" s="71"/>
    </row>
    <row r="5" spans="1:12" ht="15" customHeight="1" thickBot="1" x14ac:dyDescent="0.3">
      <c r="A5" s="85"/>
      <c r="B5" s="72" t="s">
        <v>131</v>
      </c>
      <c r="C5" s="85"/>
      <c r="D5" s="73" t="s">
        <v>315</v>
      </c>
      <c r="E5" s="74"/>
      <c r="F5" s="75"/>
      <c r="G5" s="75"/>
      <c r="H5" s="75"/>
      <c r="I5" s="75"/>
      <c r="J5" s="75"/>
      <c r="K5" s="75"/>
      <c r="L5" s="71"/>
    </row>
    <row r="6" spans="1:12" ht="5.0999999999999996" customHeight="1" thickBot="1" x14ac:dyDescent="0.3">
      <c r="A6" s="85"/>
      <c r="B6" s="74"/>
      <c r="C6" s="85"/>
      <c r="D6" s="76"/>
      <c r="E6" s="75"/>
      <c r="F6" s="75"/>
      <c r="G6" s="75"/>
      <c r="H6" s="75"/>
      <c r="I6" s="75"/>
      <c r="J6" s="75"/>
      <c r="K6" s="75"/>
      <c r="L6" s="71"/>
    </row>
    <row r="7" spans="1:12" ht="15" customHeight="1" thickBot="1" x14ac:dyDescent="0.3">
      <c r="A7" s="85"/>
      <c r="B7" s="77" t="s">
        <v>132</v>
      </c>
      <c r="C7" s="85"/>
      <c r="D7" s="73" t="s">
        <v>339</v>
      </c>
      <c r="E7" s="74"/>
      <c r="F7" s="75"/>
      <c r="G7" s="75"/>
      <c r="H7" s="75"/>
      <c r="I7" s="75"/>
      <c r="J7" s="75"/>
      <c r="K7" s="75"/>
      <c r="L7" s="71"/>
    </row>
    <row r="8" spans="1:12" ht="5.0999999999999996" customHeight="1" thickBot="1" x14ac:dyDescent="0.3">
      <c r="A8" s="85"/>
      <c r="B8" s="77"/>
      <c r="C8" s="85"/>
      <c r="D8" s="78"/>
      <c r="E8" s="75"/>
      <c r="F8" s="75"/>
      <c r="G8" s="75"/>
      <c r="H8" s="75"/>
      <c r="I8" s="75"/>
      <c r="J8" s="75"/>
      <c r="K8" s="75"/>
      <c r="L8" s="71"/>
    </row>
    <row r="9" spans="1:12" ht="13.5" thickBot="1" x14ac:dyDescent="0.3">
      <c r="A9" s="85"/>
      <c r="B9" s="77" t="s">
        <v>133</v>
      </c>
      <c r="C9" s="85"/>
      <c r="D9" s="217">
        <f>+VLOOKUP(D7,fechas[],2,FALSE)</f>
        <v>46402</v>
      </c>
      <c r="E9" s="85"/>
      <c r="F9" s="85"/>
      <c r="G9" s="85"/>
      <c r="H9" s="85"/>
      <c r="I9" s="85"/>
      <c r="J9" s="85"/>
      <c r="K9" s="85"/>
      <c r="L9" s="85"/>
    </row>
    <row r="10" spans="1:12" ht="15" customHeight="1" x14ac:dyDescent="0.25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</row>
    <row r="11" spans="1:12" ht="48.75" customHeight="1" x14ac:dyDescent="0.25">
      <c r="A11" s="85"/>
      <c r="B11" s="256" t="s">
        <v>134</v>
      </c>
      <c r="C11" s="256"/>
      <c r="D11" s="256"/>
      <c r="E11" s="79" t="s">
        <v>29</v>
      </c>
      <c r="F11" s="79" t="s">
        <v>30</v>
      </c>
      <c r="G11" s="79" t="s">
        <v>87</v>
      </c>
      <c r="H11" s="79" t="s">
        <v>31</v>
      </c>
      <c r="I11" s="79" t="s">
        <v>32</v>
      </c>
      <c r="J11" s="79" t="s">
        <v>33</v>
      </c>
      <c r="K11" s="79" t="s">
        <v>321</v>
      </c>
      <c r="L11" s="85"/>
    </row>
    <row r="12" spans="1:12" ht="22.5" customHeight="1" x14ac:dyDescent="0.25">
      <c r="A12" s="85"/>
      <c r="B12" s="264" t="s">
        <v>136</v>
      </c>
      <c r="C12" s="264"/>
      <c r="D12" s="264"/>
      <c r="E12" s="249" t="s">
        <v>345</v>
      </c>
      <c r="F12" s="250"/>
      <c r="G12" s="250"/>
      <c r="H12" s="250"/>
      <c r="I12" s="250"/>
      <c r="J12" s="250"/>
      <c r="K12" s="251"/>
      <c r="L12" s="85"/>
    </row>
    <row r="13" spans="1:12" ht="15" customHeight="1" x14ac:dyDescent="0.25">
      <c r="B13" s="265" t="s">
        <v>137</v>
      </c>
      <c r="C13" s="265"/>
      <c r="D13" s="265"/>
      <c r="E13" s="231">
        <v>0</v>
      </c>
      <c r="F13" s="231">
        <v>0</v>
      </c>
      <c r="G13" s="231">
        <v>0</v>
      </c>
      <c r="H13" s="231">
        <v>0</v>
      </c>
      <c r="I13" s="231">
        <v>0</v>
      </c>
      <c r="J13" s="231">
        <v>0</v>
      </c>
      <c r="K13" s="231">
        <v>0</v>
      </c>
      <c r="L13" s="85"/>
    </row>
    <row r="14" spans="1:12" ht="15" customHeight="1" x14ac:dyDescent="0.25">
      <c r="B14" s="265" t="str">
        <f>+'FORM INGRESOS'!A17</f>
        <v>Déficit Tarifario</v>
      </c>
      <c r="C14" s="265"/>
      <c r="D14" s="265"/>
      <c r="E14" s="232">
        <v>0</v>
      </c>
      <c r="F14" s="232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85"/>
    </row>
    <row r="15" spans="1:12" ht="15" customHeight="1" x14ac:dyDescent="0.25">
      <c r="B15" s="265" t="str">
        <f>+'FORM INGRESOS'!A19</f>
        <v>Subsidios (Informativo)</v>
      </c>
      <c r="C15" s="265"/>
      <c r="D15" s="265"/>
      <c r="E15" s="232">
        <v>0</v>
      </c>
      <c r="F15" s="232">
        <v>0</v>
      </c>
      <c r="G15" s="232">
        <v>0</v>
      </c>
      <c r="H15" s="232">
        <v>0</v>
      </c>
      <c r="I15" s="232">
        <v>0</v>
      </c>
      <c r="J15" s="232">
        <v>0</v>
      </c>
      <c r="K15" s="232">
        <v>0</v>
      </c>
      <c r="L15" s="85"/>
    </row>
    <row r="16" spans="1:12" ht="15" customHeight="1" x14ac:dyDescent="0.25">
      <c r="B16" s="265" t="str">
        <f>+'FORM INGRESOS'!A18</f>
        <v>Intereses Ganados</v>
      </c>
      <c r="C16" s="265"/>
      <c r="D16" s="265"/>
      <c r="E16" s="232">
        <v>0</v>
      </c>
      <c r="F16" s="232">
        <v>0</v>
      </c>
      <c r="G16" s="232">
        <v>0</v>
      </c>
      <c r="H16" s="232">
        <v>0</v>
      </c>
      <c r="I16" s="232">
        <v>0</v>
      </c>
      <c r="J16" s="232">
        <v>0</v>
      </c>
      <c r="K16" s="232">
        <v>0</v>
      </c>
      <c r="L16" s="85"/>
    </row>
    <row r="17" spans="2:12" ht="15" customHeight="1" x14ac:dyDescent="0.25">
      <c r="B17" s="265" t="str">
        <f>+'FORM INGRESOS'!A20</f>
        <v>OTROS INGRESOS NO OPERATIVOS</v>
      </c>
      <c r="C17" s="265"/>
      <c r="D17" s="265"/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85"/>
    </row>
    <row r="18" spans="2:12" ht="15" customHeight="1" x14ac:dyDescent="0.25">
      <c r="B18" s="262" t="s">
        <v>138</v>
      </c>
      <c r="C18" s="262"/>
      <c r="D18" s="262"/>
      <c r="E18" s="230">
        <f>+E13-E14-E15+E16+E17</f>
        <v>0</v>
      </c>
      <c r="F18" s="230">
        <f t="shared" ref="F18:K18" si="0">+F13-F14-F15+F16+F17</f>
        <v>0</v>
      </c>
      <c r="G18" s="230">
        <f t="shared" si="0"/>
        <v>0</v>
      </c>
      <c r="H18" s="230">
        <f t="shared" si="0"/>
        <v>0</v>
      </c>
      <c r="I18" s="230">
        <f t="shared" si="0"/>
        <v>0</v>
      </c>
      <c r="J18" s="230">
        <f t="shared" si="0"/>
        <v>0</v>
      </c>
      <c r="K18" s="230">
        <f t="shared" si="0"/>
        <v>0</v>
      </c>
      <c r="L18" s="85"/>
    </row>
    <row r="19" spans="2:12" ht="15" customHeight="1" x14ac:dyDescent="0.25">
      <c r="B19" s="265" t="s">
        <v>139</v>
      </c>
      <c r="C19" s="265"/>
      <c r="D19" s="265"/>
      <c r="E19" s="231"/>
      <c r="F19" s="231"/>
      <c r="G19" s="231"/>
      <c r="H19" s="231"/>
      <c r="I19" s="231"/>
      <c r="J19" s="231"/>
      <c r="K19" s="231"/>
      <c r="L19" s="85"/>
    </row>
    <row r="20" spans="2:12" ht="20.100000000000001" customHeight="1" x14ac:dyDescent="0.25">
      <c r="B20" s="261" t="s">
        <v>140</v>
      </c>
      <c r="C20" s="261"/>
      <c r="D20" s="261"/>
      <c r="E20" s="231"/>
      <c r="F20" s="231"/>
      <c r="G20" s="231"/>
      <c r="H20" s="231"/>
      <c r="I20" s="231"/>
      <c r="J20" s="231"/>
      <c r="K20" s="231"/>
      <c r="L20" s="85"/>
    </row>
    <row r="21" spans="2:12" ht="15" customHeight="1" x14ac:dyDescent="0.25">
      <c r="B21" s="255" t="s">
        <v>141</v>
      </c>
      <c r="C21" s="255"/>
      <c r="D21" s="255"/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85"/>
    </row>
    <row r="22" spans="2:12" ht="15" customHeight="1" x14ac:dyDescent="0.25">
      <c r="B22" s="255" t="s">
        <v>142</v>
      </c>
      <c r="C22" s="255"/>
      <c r="D22" s="255"/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85"/>
    </row>
    <row r="23" spans="2:12" ht="15" customHeight="1" x14ac:dyDescent="0.25">
      <c r="B23" s="257" t="s">
        <v>143</v>
      </c>
      <c r="C23" s="257"/>
      <c r="D23" s="257"/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85"/>
    </row>
    <row r="24" spans="2:12" ht="20.100000000000001" customHeight="1" x14ac:dyDescent="0.25">
      <c r="B24" s="261" t="s">
        <v>144</v>
      </c>
      <c r="C24" s="261"/>
      <c r="D24" s="261"/>
      <c r="E24" s="232"/>
      <c r="F24" s="232"/>
      <c r="G24" s="232"/>
      <c r="H24" s="232"/>
      <c r="I24" s="232"/>
      <c r="J24" s="232"/>
      <c r="K24" s="232"/>
      <c r="L24" s="85"/>
    </row>
    <row r="25" spans="2:12" ht="15" customHeight="1" x14ac:dyDescent="0.25">
      <c r="B25" s="255" t="s">
        <v>141</v>
      </c>
      <c r="C25" s="255"/>
      <c r="D25" s="255"/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85"/>
    </row>
    <row r="26" spans="2:12" ht="15" customHeight="1" x14ac:dyDescent="0.25">
      <c r="B26" s="257" t="s">
        <v>145</v>
      </c>
      <c r="C26" s="257"/>
      <c r="D26" s="257"/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85"/>
    </row>
    <row r="27" spans="2:12" ht="15" customHeight="1" x14ac:dyDescent="0.25">
      <c r="B27" s="257"/>
      <c r="C27" s="257"/>
      <c r="D27" s="257"/>
      <c r="E27" s="232"/>
      <c r="F27" s="232"/>
      <c r="G27" s="232"/>
      <c r="H27" s="232"/>
      <c r="I27" s="232"/>
      <c r="J27" s="232"/>
      <c r="K27" s="232"/>
      <c r="L27" s="85"/>
    </row>
    <row r="28" spans="2:12" ht="15" customHeight="1" x14ac:dyDescent="0.25">
      <c r="B28" s="257" t="s">
        <v>146</v>
      </c>
      <c r="C28" s="257"/>
      <c r="D28" s="257"/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85"/>
    </row>
    <row r="29" spans="2:12" ht="15" customHeight="1" x14ac:dyDescent="0.25">
      <c r="B29" s="257" t="s">
        <v>147</v>
      </c>
      <c r="C29" s="257"/>
      <c r="D29" s="257"/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85"/>
    </row>
    <row r="30" spans="2:12" ht="15" customHeight="1" x14ac:dyDescent="0.25">
      <c r="B30" s="262" t="s">
        <v>148</v>
      </c>
      <c r="C30" s="262"/>
      <c r="D30" s="262"/>
      <c r="E30" s="230">
        <f>SUM(E19:E29)</f>
        <v>0</v>
      </c>
      <c r="F30" s="230">
        <f t="shared" ref="F30:K30" si="1">SUM(F19:F29)</f>
        <v>0</v>
      </c>
      <c r="G30" s="230">
        <f t="shared" si="1"/>
        <v>0</v>
      </c>
      <c r="H30" s="230">
        <f t="shared" si="1"/>
        <v>0</v>
      </c>
      <c r="I30" s="230">
        <f t="shared" si="1"/>
        <v>0</v>
      </c>
      <c r="J30" s="230">
        <f t="shared" si="1"/>
        <v>0</v>
      </c>
      <c r="K30" s="230">
        <f t="shared" si="1"/>
        <v>0</v>
      </c>
      <c r="L30" s="85"/>
    </row>
    <row r="31" spans="2:12" ht="35.1" customHeight="1" x14ac:dyDescent="0.25">
      <c r="B31" s="263" t="s">
        <v>149</v>
      </c>
      <c r="C31" s="263"/>
      <c r="D31" s="263"/>
      <c r="E31" s="230">
        <f>+E18-E30</f>
        <v>0</v>
      </c>
      <c r="F31" s="230">
        <f t="shared" ref="F31:K31" si="2">+F18-F30</f>
        <v>0</v>
      </c>
      <c r="G31" s="230">
        <f t="shared" si="2"/>
        <v>0</v>
      </c>
      <c r="H31" s="230">
        <f t="shared" si="2"/>
        <v>0</v>
      </c>
      <c r="I31" s="230">
        <f t="shared" si="2"/>
        <v>0</v>
      </c>
      <c r="J31" s="230">
        <f t="shared" si="2"/>
        <v>0</v>
      </c>
      <c r="K31" s="230">
        <f t="shared" si="2"/>
        <v>0</v>
      </c>
      <c r="L31" s="85"/>
    </row>
    <row r="32" spans="2:12" ht="22.5" customHeight="1" x14ac:dyDescent="0.25">
      <c r="B32" s="264" t="s">
        <v>150</v>
      </c>
      <c r="C32" s="264"/>
      <c r="D32" s="264"/>
      <c r="E32" s="210"/>
      <c r="F32" s="210"/>
      <c r="G32" s="210"/>
      <c r="H32" s="210"/>
      <c r="I32" s="210"/>
      <c r="J32" s="210"/>
      <c r="K32" s="210"/>
      <c r="L32" s="85"/>
    </row>
    <row r="33" spans="2:12" ht="20.100000000000001" customHeight="1" x14ac:dyDescent="0.25">
      <c r="B33" s="261" t="s">
        <v>140</v>
      </c>
      <c r="C33" s="261"/>
      <c r="D33" s="261"/>
      <c r="E33" s="211"/>
      <c r="F33" s="211"/>
      <c r="G33" s="211"/>
      <c r="H33" s="211"/>
      <c r="I33" s="211"/>
      <c r="J33" s="211"/>
      <c r="K33" s="211"/>
      <c r="L33" s="85"/>
    </row>
    <row r="34" spans="2:12" ht="15" customHeight="1" x14ac:dyDescent="0.25">
      <c r="B34" s="255" t="s">
        <v>269</v>
      </c>
      <c r="C34" s="255"/>
      <c r="D34" s="255"/>
      <c r="E34" s="232">
        <v>0</v>
      </c>
      <c r="F34" s="232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85"/>
    </row>
    <row r="35" spans="2:12" ht="15" customHeight="1" x14ac:dyDescent="0.25">
      <c r="B35" s="255" t="s">
        <v>151</v>
      </c>
      <c r="C35" s="255"/>
      <c r="D35" s="255"/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85"/>
    </row>
    <row r="36" spans="2:12" ht="15" customHeight="1" x14ac:dyDescent="0.25">
      <c r="B36" s="258"/>
      <c r="C36" s="259"/>
      <c r="D36" s="260"/>
      <c r="E36" s="232"/>
      <c r="F36" s="232"/>
      <c r="G36" s="232"/>
      <c r="H36" s="232"/>
      <c r="I36" s="232"/>
      <c r="J36" s="232"/>
      <c r="K36" s="232"/>
      <c r="L36" s="85"/>
    </row>
    <row r="37" spans="2:12" ht="20.100000000000001" customHeight="1" x14ac:dyDescent="0.25">
      <c r="B37" s="261" t="s">
        <v>144</v>
      </c>
      <c r="C37" s="261"/>
      <c r="D37" s="261"/>
      <c r="E37" s="232"/>
      <c r="F37" s="232"/>
      <c r="G37" s="232"/>
      <c r="H37" s="232"/>
      <c r="I37" s="232"/>
      <c r="J37" s="232"/>
      <c r="K37" s="232"/>
      <c r="L37" s="85"/>
    </row>
    <row r="38" spans="2:12" ht="15" customHeight="1" x14ac:dyDescent="0.25">
      <c r="B38" s="255" t="s">
        <v>274</v>
      </c>
      <c r="C38" s="255"/>
      <c r="D38" s="255"/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85"/>
    </row>
    <row r="39" spans="2:12" ht="15" customHeight="1" x14ac:dyDescent="0.25">
      <c r="B39" s="255" t="s">
        <v>305</v>
      </c>
      <c r="C39" s="255"/>
      <c r="D39" s="255"/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85"/>
    </row>
    <row r="40" spans="2:12" ht="35.25" customHeight="1" x14ac:dyDescent="0.25">
      <c r="B40" s="253" t="s">
        <v>188</v>
      </c>
      <c r="C40" s="254"/>
      <c r="D40" s="254"/>
      <c r="E40" s="232"/>
      <c r="F40" s="232"/>
      <c r="G40" s="232"/>
      <c r="H40" s="232"/>
      <c r="I40" s="232"/>
      <c r="J40" s="232"/>
      <c r="K40" s="232"/>
      <c r="L40" s="85"/>
    </row>
    <row r="41" spans="2:12" ht="15" customHeight="1" x14ac:dyDescent="0.25">
      <c r="B41" s="257" t="s">
        <v>152</v>
      </c>
      <c r="C41" s="255"/>
      <c r="D41" s="255"/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85"/>
    </row>
    <row r="42" spans="2:12" ht="15" customHeight="1" x14ac:dyDescent="0.25">
      <c r="B42" s="257" t="s">
        <v>153</v>
      </c>
      <c r="C42" s="255"/>
      <c r="D42" s="255"/>
      <c r="E42" s="232">
        <v>0</v>
      </c>
      <c r="F42" s="232">
        <v>0</v>
      </c>
      <c r="G42" s="232">
        <v>0</v>
      </c>
      <c r="H42" s="232">
        <v>0</v>
      </c>
      <c r="I42" s="232">
        <v>0</v>
      </c>
      <c r="J42" s="232">
        <v>0</v>
      </c>
      <c r="K42" s="232">
        <v>0</v>
      </c>
      <c r="L42" s="85"/>
    </row>
    <row r="43" spans="2:12" ht="15" customHeight="1" x14ac:dyDescent="0.25">
      <c r="B43" s="257"/>
      <c r="C43" s="255"/>
      <c r="D43" s="255"/>
      <c r="E43" s="232"/>
      <c r="F43" s="232"/>
      <c r="G43" s="232"/>
      <c r="H43" s="232"/>
      <c r="I43" s="232"/>
      <c r="J43" s="232"/>
      <c r="K43" s="232"/>
      <c r="L43" s="85"/>
    </row>
    <row r="44" spans="2:12" ht="15" customHeight="1" x14ac:dyDescent="0.25">
      <c r="B44" s="253" t="s">
        <v>154</v>
      </c>
      <c r="C44" s="254"/>
      <c r="D44" s="254"/>
      <c r="E44" s="232"/>
      <c r="F44" s="232"/>
      <c r="G44" s="232"/>
      <c r="H44" s="232"/>
      <c r="I44" s="232"/>
      <c r="J44" s="232"/>
      <c r="K44" s="232"/>
      <c r="L44" s="85"/>
    </row>
    <row r="45" spans="2:12" ht="15" customHeight="1" x14ac:dyDescent="0.25">
      <c r="B45" s="255" t="s">
        <v>155</v>
      </c>
      <c r="C45" s="255"/>
      <c r="D45" s="255"/>
      <c r="E45" s="232">
        <v>0</v>
      </c>
      <c r="F45" s="232">
        <v>0</v>
      </c>
      <c r="G45" s="232">
        <v>0</v>
      </c>
      <c r="H45" s="232">
        <v>0</v>
      </c>
      <c r="I45" s="232">
        <v>0</v>
      </c>
      <c r="J45" s="232">
        <v>0</v>
      </c>
      <c r="K45" s="232">
        <v>0</v>
      </c>
      <c r="L45" s="85"/>
    </row>
    <row r="46" spans="2:12" ht="15" customHeight="1" x14ac:dyDescent="0.25">
      <c r="B46" s="255" t="s">
        <v>156</v>
      </c>
      <c r="C46" s="255"/>
      <c r="D46" s="255"/>
      <c r="E46" s="232">
        <v>0</v>
      </c>
      <c r="F46" s="232">
        <v>0</v>
      </c>
      <c r="G46" s="232">
        <v>0</v>
      </c>
      <c r="H46" s="232">
        <v>0</v>
      </c>
      <c r="I46" s="232">
        <v>0</v>
      </c>
      <c r="J46" s="232">
        <v>0</v>
      </c>
      <c r="K46" s="232">
        <v>0</v>
      </c>
      <c r="L46" s="85"/>
    </row>
    <row r="47" spans="2:12" ht="15" customHeight="1" x14ac:dyDescent="0.25">
      <c r="B47" s="255" t="s">
        <v>157</v>
      </c>
      <c r="C47" s="255"/>
      <c r="D47" s="255"/>
      <c r="E47" s="232">
        <v>0</v>
      </c>
      <c r="F47" s="232">
        <v>0</v>
      </c>
      <c r="G47" s="232">
        <v>0</v>
      </c>
      <c r="H47" s="232">
        <v>0</v>
      </c>
      <c r="I47" s="232">
        <v>0</v>
      </c>
      <c r="J47" s="232">
        <v>0</v>
      </c>
      <c r="K47" s="232">
        <v>0</v>
      </c>
      <c r="L47" s="85"/>
    </row>
    <row r="48" spans="2:12" ht="28.5" customHeight="1" x14ac:dyDescent="0.25">
      <c r="B48" s="256" t="s">
        <v>158</v>
      </c>
      <c r="C48" s="256"/>
      <c r="D48" s="256"/>
      <c r="E48" s="230">
        <f>SUM(E33:E47)</f>
        <v>0</v>
      </c>
      <c r="F48" s="230">
        <f>SUM(F33:F47)</f>
        <v>0</v>
      </c>
      <c r="G48" s="230">
        <f>SUM(G34:G47)</f>
        <v>0</v>
      </c>
      <c r="H48" s="230">
        <f>SUM(H34:H47)</f>
        <v>0</v>
      </c>
      <c r="I48" s="230">
        <f>SUM(I34:I47)</f>
        <v>0</v>
      </c>
      <c r="J48" s="230">
        <f>SUM(J34:J47)</f>
        <v>0</v>
      </c>
      <c r="K48" s="230">
        <f>SUM(K34:K47)</f>
        <v>0</v>
      </c>
      <c r="L48" s="85"/>
    </row>
    <row r="49" spans="1:30" s="83" customFormat="1" ht="10.5" customHeight="1" x14ac:dyDescent="0.25">
      <c r="B49" s="81"/>
      <c r="C49" s="81"/>
      <c r="D49" s="81"/>
      <c r="E49" s="82"/>
      <c r="F49" s="82"/>
      <c r="G49" s="82"/>
      <c r="H49" s="82"/>
      <c r="I49" s="82"/>
      <c r="J49" s="82"/>
      <c r="K49" s="82"/>
      <c r="L49" s="87"/>
    </row>
    <row r="50" spans="1:30" s="83" customFormat="1" ht="34.5" customHeight="1" x14ac:dyDescent="0.25">
      <c r="B50" s="252" t="s">
        <v>275</v>
      </c>
      <c r="C50" s="252"/>
      <c r="D50" s="252"/>
      <c r="E50" s="252"/>
      <c r="F50" s="252"/>
      <c r="G50" s="252"/>
      <c r="H50" s="252"/>
      <c r="I50" s="252"/>
      <c r="J50" s="252"/>
      <c r="K50" s="252"/>
      <c r="L50" s="88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</row>
    <row r="51" spans="1:30" ht="9.75" customHeight="1" x14ac:dyDescent="0.25">
      <c r="A51" s="85"/>
      <c r="B51" s="85"/>
      <c r="C51" s="85"/>
      <c r="D51" s="89"/>
      <c r="E51" s="85"/>
      <c r="F51" s="85"/>
      <c r="G51" s="85"/>
      <c r="H51" s="85"/>
      <c r="I51" s="85"/>
      <c r="J51" s="85"/>
      <c r="K51" s="85"/>
      <c r="L51" s="85"/>
    </row>
    <row r="52" spans="1:30" x14ac:dyDescent="0.25">
      <c r="D52" s="90"/>
    </row>
  </sheetData>
  <mergeCells count="40">
    <mergeCell ref="B23:D23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4:D24"/>
    <mergeCell ref="B25:D25"/>
    <mergeCell ref="B26:D26"/>
    <mergeCell ref="B27:D27"/>
    <mergeCell ref="B28:D28"/>
    <mergeCell ref="B42:D42"/>
    <mergeCell ref="B29:D29"/>
    <mergeCell ref="B30:D30"/>
    <mergeCell ref="B31:D31"/>
    <mergeCell ref="B32:D32"/>
    <mergeCell ref="B33:D33"/>
    <mergeCell ref="E12:K12"/>
    <mergeCell ref="B50:K50"/>
    <mergeCell ref="B44:D44"/>
    <mergeCell ref="B45:D45"/>
    <mergeCell ref="B46:D46"/>
    <mergeCell ref="B47:D47"/>
    <mergeCell ref="B48:D48"/>
    <mergeCell ref="B34:D34"/>
    <mergeCell ref="B43:D43"/>
    <mergeCell ref="B35:D35"/>
    <mergeCell ref="B36:D36"/>
    <mergeCell ref="B37:D37"/>
    <mergeCell ref="B38:D38"/>
    <mergeCell ref="B39:D39"/>
    <mergeCell ref="B40:D40"/>
    <mergeCell ref="B41:D41"/>
  </mergeCells>
  <dataValidations count="2">
    <dataValidation type="list" allowBlank="1" showInputMessage="1" showErrorMessage="1" sqref="D7" xr:uid="{00000000-0002-0000-0500-000000000000}">
      <formula1>INDIRECT("fechas[fecha_corte]")</formula1>
    </dataValidation>
    <dataValidation type="list" allowBlank="1" showInputMessage="1" showErrorMessage="1" sqref="D5" xr:uid="{00000000-0002-0000-0500-000001000000}">
      <formula1>INDIRECT("distribuidoras")</formula1>
    </dataValidation>
  </dataValidations>
  <pageMargins left="0.7" right="0.7" top="0.75" bottom="0.75" header="0.3" footer="0.3"/>
  <pageSetup scale="4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3"/>
  <sheetViews>
    <sheetView showGridLines="0" view="pageBreakPreview" zoomScaleNormal="90" zoomScaleSheetLayoutView="100" workbookViewId="0">
      <selection activeCell="D34" sqref="D34"/>
    </sheetView>
  </sheetViews>
  <sheetFormatPr baseColWidth="10" defaultColWidth="9.140625" defaultRowHeight="12.75" x14ac:dyDescent="0.2"/>
  <cols>
    <col min="1" max="1" width="26.5703125" style="14" customWidth="1"/>
    <col min="2" max="2" width="3" style="14" customWidth="1"/>
    <col min="3" max="3" width="29.7109375" style="14" customWidth="1"/>
    <col min="4" max="4" width="16.5703125" style="14" customWidth="1"/>
    <col min="5" max="5" width="18.140625" style="14" customWidth="1"/>
    <col min="6" max="6" width="19" style="14" customWidth="1"/>
    <col min="7" max="7" width="15.7109375" style="14" customWidth="1"/>
    <col min="8" max="8" width="19.5703125" style="14" customWidth="1"/>
    <col min="9" max="9" width="17.5703125" style="14" customWidth="1"/>
    <col min="10" max="10" width="19" style="14" customWidth="1"/>
    <col min="11" max="12" width="15.7109375" style="14" customWidth="1"/>
    <col min="13" max="13" width="2.28515625" style="14" customWidth="1"/>
    <col min="14" max="34" width="19" style="14" customWidth="1"/>
    <col min="35" max="258" width="9.140625" style="14"/>
    <col min="259" max="259" width="3.140625" style="14" customWidth="1"/>
    <col min="260" max="260" width="4.5703125" style="14" bestFit="1" customWidth="1"/>
    <col min="261" max="261" width="28.5703125" style="14" customWidth="1"/>
    <col min="262" max="262" width="32.42578125" style="14" customWidth="1"/>
    <col min="263" max="263" width="14.85546875" style="14" customWidth="1"/>
    <col min="264" max="264" width="15.5703125" style="14" customWidth="1"/>
    <col min="265" max="265" width="19.42578125" style="14" customWidth="1"/>
    <col min="266" max="266" width="18.5703125" style="14" customWidth="1"/>
    <col min="267" max="267" width="17.85546875" style="14" customWidth="1"/>
    <col min="268" max="290" width="19" style="14" customWidth="1"/>
    <col min="291" max="514" width="9.140625" style="14"/>
    <col min="515" max="515" width="3.140625" style="14" customWidth="1"/>
    <col min="516" max="516" width="4.5703125" style="14" bestFit="1" customWidth="1"/>
    <col min="517" max="517" width="28.5703125" style="14" customWidth="1"/>
    <col min="518" max="518" width="32.42578125" style="14" customWidth="1"/>
    <col min="519" max="519" width="14.85546875" style="14" customWidth="1"/>
    <col min="520" max="520" width="15.5703125" style="14" customWidth="1"/>
    <col min="521" max="521" width="19.42578125" style="14" customWidth="1"/>
    <col min="522" max="522" width="18.5703125" style="14" customWidth="1"/>
    <col min="523" max="523" width="17.85546875" style="14" customWidth="1"/>
    <col min="524" max="546" width="19" style="14" customWidth="1"/>
    <col min="547" max="770" width="9.140625" style="14"/>
    <col min="771" max="771" width="3.140625" style="14" customWidth="1"/>
    <col min="772" max="772" width="4.5703125" style="14" bestFit="1" customWidth="1"/>
    <col min="773" max="773" width="28.5703125" style="14" customWidth="1"/>
    <col min="774" max="774" width="32.42578125" style="14" customWidth="1"/>
    <col min="775" max="775" width="14.85546875" style="14" customWidth="1"/>
    <col min="776" max="776" width="15.5703125" style="14" customWidth="1"/>
    <col min="777" max="777" width="19.42578125" style="14" customWidth="1"/>
    <col min="778" max="778" width="18.5703125" style="14" customWidth="1"/>
    <col min="779" max="779" width="17.85546875" style="14" customWidth="1"/>
    <col min="780" max="802" width="19" style="14" customWidth="1"/>
    <col min="803" max="1026" width="9.140625" style="14"/>
    <col min="1027" max="1027" width="3.140625" style="14" customWidth="1"/>
    <col min="1028" max="1028" width="4.5703125" style="14" bestFit="1" customWidth="1"/>
    <col min="1029" max="1029" width="28.5703125" style="14" customWidth="1"/>
    <col min="1030" max="1030" width="32.42578125" style="14" customWidth="1"/>
    <col min="1031" max="1031" width="14.85546875" style="14" customWidth="1"/>
    <col min="1032" max="1032" width="15.5703125" style="14" customWidth="1"/>
    <col min="1033" max="1033" width="19.42578125" style="14" customWidth="1"/>
    <col min="1034" max="1034" width="18.5703125" style="14" customWidth="1"/>
    <col min="1035" max="1035" width="17.85546875" style="14" customWidth="1"/>
    <col min="1036" max="1058" width="19" style="14" customWidth="1"/>
    <col min="1059" max="1282" width="9.140625" style="14"/>
    <col min="1283" max="1283" width="3.140625" style="14" customWidth="1"/>
    <col min="1284" max="1284" width="4.5703125" style="14" bestFit="1" customWidth="1"/>
    <col min="1285" max="1285" width="28.5703125" style="14" customWidth="1"/>
    <col min="1286" max="1286" width="32.42578125" style="14" customWidth="1"/>
    <col min="1287" max="1287" width="14.85546875" style="14" customWidth="1"/>
    <col min="1288" max="1288" width="15.5703125" style="14" customWidth="1"/>
    <col min="1289" max="1289" width="19.42578125" style="14" customWidth="1"/>
    <col min="1290" max="1290" width="18.5703125" style="14" customWidth="1"/>
    <col min="1291" max="1291" width="17.85546875" style="14" customWidth="1"/>
    <col min="1292" max="1314" width="19" style="14" customWidth="1"/>
    <col min="1315" max="1538" width="9.140625" style="14"/>
    <col min="1539" max="1539" width="3.140625" style="14" customWidth="1"/>
    <col min="1540" max="1540" width="4.5703125" style="14" bestFit="1" customWidth="1"/>
    <col min="1541" max="1541" width="28.5703125" style="14" customWidth="1"/>
    <col min="1542" max="1542" width="32.42578125" style="14" customWidth="1"/>
    <col min="1543" max="1543" width="14.85546875" style="14" customWidth="1"/>
    <col min="1544" max="1544" width="15.5703125" style="14" customWidth="1"/>
    <col min="1545" max="1545" width="19.42578125" style="14" customWidth="1"/>
    <col min="1546" max="1546" width="18.5703125" style="14" customWidth="1"/>
    <col min="1547" max="1547" width="17.85546875" style="14" customWidth="1"/>
    <col min="1548" max="1570" width="19" style="14" customWidth="1"/>
    <col min="1571" max="1794" width="9.140625" style="14"/>
    <col min="1795" max="1795" width="3.140625" style="14" customWidth="1"/>
    <col min="1796" max="1796" width="4.5703125" style="14" bestFit="1" customWidth="1"/>
    <col min="1797" max="1797" width="28.5703125" style="14" customWidth="1"/>
    <col min="1798" max="1798" width="32.42578125" style="14" customWidth="1"/>
    <col min="1799" max="1799" width="14.85546875" style="14" customWidth="1"/>
    <col min="1800" max="1800" width="15.5703125" style="14" customWidth="1"/>
    <col min="1801" max="1801" width="19.42578125" style="14" customWidth="1"/>
    <col min="1802" max="1802" width="18.5703125" style="14" customWidth="1"/>
    <col min="1803" max="1803" width="17.85546875" style="14" customWidth="1"/>
    <col min="1804" max="1826" width="19" style="14" customWidth="1"/>
    <col min="1827" max="2050" width="9.140625" style="14"/>
    <col min="2051" max="2051" width="3.140625" style="14" customWidth="1"/>
    <col min="2052" max="2052" width="4.5703125" style="14" bestFit="1" customWidth="1"/>
    <col min="2053" max="2053" width="28.5703125" style="14" customWidth="1"/>
    <col min="2054" max="2054" width="32.42578125" style="14" customWidth="1"/>
    <col min="2055" max="2055" width="14.85546875" style="14" customWidth="1"/>
    <col min="2056" max="2056" width="15.5703125" style="14" customWidth="1"/>
    <col min="2057" max="2057" width="19.42578125" style="14" customWidth="1"/>
    <col min="2058" max="2058" width="18.5703125" style="14" customWidth="1"/>
    <col min="2059" max="2059" width="17.85546875" style="14" customWidth="1"/>
    <col min="2060" max="2082" width="19" style="14" customWidth="1"/>
    <col min="2083" max="2306" width="9.140625" style="14"/>
    <col min="2307" max="2307" width="3.140625" style="14" customWidth="1"/>
    <col min="2308" max="2308" width="4.5703125" style="14" bestFit="1" customWidth="1"/>
    <col min="2309" max="2309" width="28.5703125" style="14" customWidth="1"/>
    <col min="2310" max="2310" width="32.42578125" style="14" customWidth="1"/>
    <col min="2311" max="2311" width="14.85546875" style="14" customWidth="1"/>
    <col min="2312" max="2312" width="15.5703125" style="14" customWidth="1"/>
    <col min="2313" max="2313" width="19.42578125" style="14" customWidth="1"/>
    <col min="2314" max="2314" width="18.5703125" style="14" customWidth="1"/>
    <col min="2315" max="2315" width="17.85546875" style="14" customWidth="1"/>
    <col min="2316" max="2338" width="19" style="14" customWidth="1"/>
    <col min="2339" max="2562" width="9.140625" style="14"/>
    <col min="2563" max="2563" width="3.140625" style="14" customWidth="1"/>
    <col min="2564" max="2564" width="4.5703125" style="14" bestFit="1" customWidth="1"/>
    <col min="2565" max="2565" width="28.5703125" style="14" customWidth="1"/>
    <col min="2566" max="2566" width="32.42578125" style="14" customWidth="1"/>
    <col min="2567" max="2567" width="14.85546875" style="14" customWidth="1"/>
    <col min="2568" max="2568" width="15.5703125" style="14" customWidth="1"/>
    <col min="2569" max="2569" width="19.42578125" style="14" customWidth="1"/>
    <col min="2570" max="2570" width="18.5703125" style="14" customWidth="1"/>
    <col min="2571" max="2571" width="17.85546875" style="14" customWidth="1"/>
    <col min="2572" max="2594" width="19" style="14" customWidth="1"/>
    <col min="2595" max="2818" width="9.140625" style="14"/>
    <col min="2819" max="2819" width="3.140625" style="14" customWidth="1"/>
    <col min="2820" max="2820" width="4.5703125" style="14" bestFit="1" customWidth="1"/>
    <col min="2821" max="2821" width="28.5703125" style="14" customWidth="1"/>
    <col min="2822" max="2822" width="32.42578125" style="14" customWidth="1"/>
    <col min="2823" max="2823" width="14.85546875" style="14" customWidth="1"/>
    <col min="2824" max="2824" width="15.5703125" style="14" customWidth="1"/>
    <col min="2825" max="2825" width="19.42578125" style="14" customWidth="1"/>
    <col min="2826" max="2826" width="18.5703125" style="14" customWidth="1"/>
    <col min="2827" max="2827" width="17.85546875" style="14" customWidth="1"/>
    <col min="2828" max="2850" width="19" style="14" customWidth="1"/>
    <col min="2851" max="3074" width="9.140625" style="14"/>
    <col min="3075" max="3075" width="3.140625" style="14" customWidth="1"/>
    <col min="3076" max="3076" width="4.5703125" style="14" bestFit="1" customWidth="1"/>
    <col min="3077" max="3077" width="28.5703125" style="14" customWidth="1"/>
    <col min="3078" max="3078" width="32.42578125" style="14" customWidth="1"/>
    <col min="3079" max="3079" width="14.85546875" style="14" customWidth="1"/>
    <col min="3080" max="3080" width="15.5703125" style="14" customWidth="1"/>
    <col min="3081" max="3081" width="19.42578125" style="14" customWidth="1"/>
    <col min="3082" max="3082" width="18.5703125" style="14" customWidth="1"/>
    <col min="3083" max="3083" width="17.85546875" style="14" customWidth="1"/>
    <col min="3084" max="3106" width="19" style="14" customWidth="1"/>
    <col min="3107" max="3330" width="9.140625" style="14"/>
    <col min="3331" max="3331" width="3.140625" style="14" customWidth="1"/>
    <col min="3332" max="3332" width="4.5703125" style="14" bestFit="1" customWidth="1"/>
    <col min="3333" max="3333" width="28.5703125" style="14" customWidth="1"/>
    <col min="3334" max="3334" width="32.42578125" style="14" customWidth="1"/>
    <col min="3335" max="3335" width="14.85546875" style="14" customWidth="1"/>
    <col min="3336" max="3336" width="15.5703125" style="14" customWidth="1"/>
    <col min="3337" max="3337" width="19.42578125" style="14" customWidth="1"/>
    <col min="3338" max="3338" width="18.5703125" style="14" customWidth="1"/>
    <col min="3339" max="3339" width="17.85546875" style="14" customWidth="1"/>
    <col min="3340" max="3362" width="19" style="14" customWidth="1"/>
    <col min="3363" max="3586" width="9.140625" style="14"/>
    <col min="3587" max="3587" width="3.140625" style="14" customWidth="1"/>
    <col min="3588" max="3588" width="4.5703125" style="14" bestFit="1" customWidth="1"/>
    <col min="3589" max="3589" width="28.5703125" style="14" customWidth="1"/>
    <col min="3590" max="3590" width="32.42578125" style="14" customWidth="1"/>
    <col min="3591" max="3591" width="14.85546875" style="14" customWidth="1"/>
    <col min="3592" max="3592" width="15.5703125" style="14" customWidth="1"/>
    <col min="3593" max="3593" width="19.42578125" style="14" customWidth="1"/>
    <col min="3594" max="3594" width="18.5703125" style="14" customWidth="1"/>
    <col min="3595" max="3595" width="17.85546875" style="14" customWidth="1"/>
    <col min="3596" max="3618" width="19" style="14" customWidth="1"/>
    <col min="3619" max="3842" width="9.140625" style="14"/>
    <col min="3843" max="3843" width="3.140625" style="14" customWidth="1"/>
    <col min="3844" max="3844" width="4.5703125" style="14" bestFit="1" customWidth="1"/>
    <col min="3845" max="3845" width="28.5703125" style="14" customWidth="1"/>
    <col min="3846" max="3846" width="32.42578125" style="14" customWidth="1"/>
    <col min="3847" max="3847" width="14.85546875" style="14" customWidth="1"/>
    <col min="3848" max="3848" width="15.5703125" style="14" customWidth="1"/>
    <col min="3849" max="3849" width="19.42578125" style="14" customWidth="1"/>
    <col min="3850" max="3850" width="18.5703125" style="14" customWidth="1"/>
    <col min="3851" max="3851" width="17.85546875" style="14" customWidth="1"/>
    <col min="3852" max="3874" width="19" style="14" customWidth="1"/>
    <col min="3875" max="4098" width="9.140625" style="14"/>
    <col min="4099" max="4099" width="3.140625" style="14" customWidth="1"/>
    <col min="4100" max="4100" width="4.5703125" style="14" bestFit="1" customWidth="1"/>
    <col min="4101" max="4101" width="28.5703125" style="14" customWidth="1"/>
    <col min="4102" max="4102" width="32.42578125" style="14" customWidth="1"/>
    <col min="4103" max="4103" width="14.85546875" style="14" customWidth="1"/>
    <col min="4104" max="4104" width="15.5703125" style="14" customWidth="1"/>
    <col min="4105" max="4105" width="19.42578125" style="14" customWidth="1"/>
    <col min="4106" max="4106" width="18.5703125" style="14" customWidth="1"/>
    <col min="4107" max="4107" width="17.85546875" style="14" customWidth="1"/>
    <col min="4108" max="4130" width="19" style="14" customWidth="1"/>
    <col min="4131" max="4354" width="9.140625" style="14"/>
    <col min="4355" max="4355" width="3.140625" style="14" customWidth="1"/>
    <col min="4356" max="4356" width="4.5703125" style="14" bestFit="1" customWidth="1"/>
    <col min="4357" max="4357" width="28.5703125" style="14" customWidth="1"/>
    <col min="4358" max="4358" width="32.42578125" style="14" customWidth="1"/>
    <col min="4359" max="4359" width="14.85546875" style="14" customWidth="1"/>
    <col min="4360" max="4360" width="15.5703125" style="14" customWidth="1"/>
    <col min="4361" max="4361" width="19.42578125" style="14" customWidth="1"/>
    <col min="4362" max="4362" width="18.5703125" style="14" customWidth="1"/>
    <col min="4363" max="4363" width="17.85546875" style="14" customWidth="1"/>
    <col min="4364" max="4386" width="19" style="14" customWidth="1"/>
    <col min="4387" max="4610" width="9.140625" style="14"/>
    <col min="4611" max="4611" width="3.140625" style="14" customWidth="1"/>
    <col min="4612" max="4612" width="4.5703125" style="14" bestFit="1" customWidth="1"/>
    <col min="4613" max="4613" width="28.5703125" style="14" customWidth="1"/>
    <col min="4614" max="4614" width="32.42578125" style="14" customWidth="1"/>
    <col min="4615" max="4615" width="14.85546875" style="14" customWidth="1"/>
    <col min="4616" max="4616" width="15.5703125" style="14" customWidth="1"/>
    <col min="4617" max="4617" width="19.42578125" style="14" customWidth="1"/>
    <col min="4618" max="4618" width="18.5703125" style="14" customWidth="1"/>
    <col min="4619" max="4619" width="17.85546875" style="14" customWidth="1"/>
    <col min="4620" max="4642" width="19" style="14" customWidth="1"/>
    <col min="4643" max="4866" width="9.140625" style="14"/>
    <col min="4867" max="4867" width="3.140625" style="14" customWidth="1"/>
    <col min="4868" max="4868" width="4.5703125" style="14" bestFit="1" customWidth="1"/>
    <col min="4869" max="4869" width="28.5703125" style="14" customWidth="1"/>
    <col min="4870" max="4870" width="32.42578125" style="14" customWidth="1"/>
    <col min="4871" max="4871" width="14.85546875" style="14" customWidth="1"/>
    <col min="4872" max="4872" width="15.5703125" style="14" customWidth="1"/>
    <col min="4873" max="4873" width="19.42578125" style="14" customWidth="1"/>
    <col min="4874" max="4874" width="18.5703125" style="14" customWidth="1"/>
    <col min="4875" max="4875" width="17.85546875" style="14" customWidth="1"/>
    <col min="4876" max="4898" width="19" style="14" customWidth="1"/>
    <col min="4899" max="5122" width="9.140625" style="14"/>
    <col min="5123" max="5123" width="3.140625" style="14" customWidth="1"/>
    <col min="5124" max="5124" width="4.5703125" style="14" bestFit="1" customWidth="1"/>
    <col min="5125" max="5125" width="28.5703125" style="14" customWidth="1"/>
    <col min="5126" max="5126" width="32.42578125" style="14" customWidth="1"/>
    <col min="5127" max="5127" width="14.85546875" style="14" customWidth="1"/>
    <col min="5128" max="5128" width="15.5703125" style="14" customWidth="1"/>
    <col min="5129" max="5129" width="19.42578125" style="14" customWidth="1"/>
    <col min="5130" max="5130" width="18.5703125" style="14" customWidth="1"/>
    <col min="5131" max="5131" width="17.85546875" style="14" customWidth="1"/>
    <col min="5132" max="5154" width="19" style="14" customWidth="1"/>
    <col min="5155" max="5378" width="9.140625" style="14"/>
    <col min="5379" max="5379" width="3.140625" style="14" customWidth="1"/>
    <col min="5380" max="5380" width="4.5703125" style="14" bestFit="1" customWidth="1"/>
    <col min="5381" max="5381" width="28.5703125" style="14" customWidth="1"/>
    <col min="5382" max="5382" width="32.42578125" style="14" customWidth="1"/>
    <col min="5383" max="5383" width="14.85546875" style="14" customWidth="1"/>
    <col min="5384" max="5384" width="15.5703125" style="14" customWidth="1"/>
    <col min="5385" max="5385" width="19.42578125" style="14" customWidth="1"/>
    <col min="5386" max="5386" width="18.5703125" style="14" customWidth="1"/>
    <col min="5387" max="5387" width="17.85546875" style="14" customWidth="1"/>
    <col min="5388" max="5410" width="19" style="14" customWidth="1"/>
    <col min="5411" max="5634" width="9.140625" style="14"/>
    <col min="5635" max="5635" width="3.140625" style="14" customWidth="1"/>
    <col min="5636" max="5636" width="4.5703125" style="14" bestFit="1" customWidth="1"/>
    <col min="5637" max="5637" width="28.5703125" style="14" customWidth="1"/>
    <col min="5638" max="5638" width="32.42578125" style="14" customWidth="1"/>
    <col min="5639" max="5639" width="14.85546875" style="14" customWidth="1"/>
    <col min="5640" max="5640" width="15.5703125" style="14" customWidth="1"/>
    <col min="5641" max="5641" width="19.42578125" style="14" customWidth="1"/>
    <col min="5642" max="5642" width="18.5703125" style="14" customWidth="1"/>
    <col min="5643" max="5643" width="17.85546875" style="14" customWidth="1"/>
    <col min="5644" max="5666" width="19" style="14" customWidth="1"/>
    <col min="5667" max="5890" width="9.140625" style="14"/>
    <col min="5891" max="5891" width="3.140625" style="14" customWidth="1"/>
    <col min="5892" max="5892" width="4.5703125" style="14" bestFit="1" customWidth="1"/>
    <col min="5893" max="5893" width="28.5703125" style="14" customWidth="1"/>
    <col min="5894" max="5894" width="32.42578125" style="14" customWidth="1"/>
    <col min="5895" max="5895" width="14.85546875" style="14" customWidth="1"/>
    <col min="5896" max="5896" width="15.5703125" style="14" customWidth="1"/>
    <col min="5897" max="5897" width="19.42578125" style="14" customWidth="1"/>
    <col min="5898" max="5898" width="18.5703125" style="14" customWidth="1"/>
    <col min="5899" max="5899" width="17.85546875" style="14" customWidth="1"/>
    <col min="5900" max="5922" width="19" style="14" customWidth="1"/>
    <col min="5923" max="6146" width="9.140625" style="14"/>
    <col min="6147" max="6147" width="3.140625" style="14" customWidth="1"/>
    <col min="6148" max="6148" width="4.5703125" style="14" bestFit="1" customWidth="1"/>
    <col min="6149" max="6149" width="28.5703125" style="14" customWidth="1"/>
    <col min="6150" max="6150" width="32.42578125" style="14" customWidth="1"/>
    <col min="6151" max="6151" width="14.85546875" style="14" customWidth="1"/>
    <col min="6152" max="6152" width="15.5703125" style="14" customWidth="1"/>
    <col min="6153" max="6153" width="19.42578125" style="14" customWidth="1"/>
    <col min="6154" max="6154" width="18.5703125" style="14" customWidth="1"/>
    <col min="6155" max="6155" width="17.85546875" style="14" customWidth="1"/>
    <col min="6156" max="6178" width="19" style="14" customWidth="1"/>
    <col min="6179" max="6402" width="9.140625" style="14"/>
    <col min="6403" max="6403" width="3.140625" style="14" customWidth="1"/>
    <col min="6404" max="6404" width="4.5703125" style="14" bestFit="1" customWidth="1"/>
    <col min="6405" max="6405" width="28.5703125" style="14" customWidth="1"/>
    <col min="6406" max="6406" width="32.42578125" style="14" customWidth="1"/>
    <col min="6407" max="6407" width="14.85546875" style="14" customWidth="1"/>
    <col min="6408" max="6408" width="15.5703125" style="14" customWidth="1"/>
    <col min="6409" max="6409" width="19.42578125" style="14" customWidth="1"/>
    <col min="6410" max="6410" width="18.5703125" style="14" customWidth="1"/>
    <col min="6411" max="6411" width="17.85546875" style="14" customWidth="1"/>
    <col min="6412" max="6434" width="19" style="14" customWidth="1"/>
    <col min="6435" max="6658" width="9.140625" style="14"/>
    <col min="6659" max="6659" width="3.140625" style="14" customWidth="1"/>
    <col min="6660" max="6660" width="4.5703125" style="14" bestFit="1" customWidth="1"/>
    <col min="6661" max="6661" width="28.5703125" style="14" customWidth="1"/>
    <col min="6662" max="6662" width="32.42578125" style="14" customWidth="1"/>
    <col min="6663" max="6663" width="14.85546875" style="14" customWidth="1"/>
    <col min="6664" max="6664" width="15.5703125" style="14" customWidth="1"/>
    <col min="6665" max="6665" width="19.42578125" style="14" customWidth="1"/>
    <col min="6666" max="6666" width="18.5703125" style="14" customWidth="1"/>
    <col min="6667" max="6667" width="17.85546875" style="14" customWidth="1"/>
    <col min="6668" max="6690" width="19" style="14" customWidth="1"/>
    <col min="6691" max="6914" width="9.140625" style="14"/>
    <col min="6915" max="6915" width="3.140625" style="14" customWidth="1"/>
    <col min="6916" max="6916" width="4.5703125" style="14" bestFit="1" customWidth="1"/>
    <col min="6917" max="6917" width="28.5703125" style="14" customWidth="1"/>
    <col min="6918" max="6918" width="32.42578125" style="14" customWidth="1"/>
    <col min="6919" max="6919" width="14.85546875" style="14" customWidth="1"/>
    <col min="6920" max="6920" width="15.5703125" style="14" customWidth="1"/>
    <col min="6921" max="6921" width="19.42578125" style="14" customWidth="1"/>
    <col min="6922" max="6922" width="18.5703125" style="14" customWidth="1"/>
    <col min="6923" max="6923" width="17.85546875" style="14" customWidth="1"/>
    <col min="6924" max="6946" width="19" style="14" customWidth="1"/>
    <col min="6947" max="7170" width="9.140625" style="14"/>
    <col min="7171" max="7171" width="3.140625" style="14" customWidth="1"/>
    <col min="7172" max="7172" width="4.5703125" style="14" bestFit="1" customWidth="1"/>
    <col min="7173" max="7173" width="28.5703125" style="14" customWidth="1"/>
    <col min="7174" max="7174" width="32.42578125" style="14" customWidth="1"/>
    <col min="7175" max="7175" width="14.85546875" style="14" customWidth="1"/>
    <col min="7176" max="7176" width="15.5703125" style="14" customWidth="1"/>
    <col min="7177" max="7177" width="19.42578125" style="14" customWidth="1"/>
    <col min="7178" max="7178" width="18.5703125" style="14" customWidth="1"/>
    <col min="7179" max="7179" width="17.85546875" style="14" customWidth="1"/>
    <col min="7180" max="7202" width="19" style="14" customWidth="1"/>
    <col min="7203" max="7426" width="9.140625" style="14"/>
    <col min="7427" max="7427" width="3.140625" style="14" customWidth="1"/>
    <col min="7428" max="7428" width="4.5703125" style="14" bestFit="1" customWidth="1"/>
    <col min="7429" max="7429" width="28.5703125" style="14" customWidth="1"/>
    <col min="7430" max="7430" width="32.42578125" style="14" customWidth="1"/>
    <col min="7431" max="7431" width="14.85546875" style="14" customWidth="1"/>
    <col min="7432" max="7432" width="15.5703125" style="14" customWidth="1"/>
    <col min="7433" max="7433" width="19.42578125" style="14" customWidth="1"/>
    <col min="7434" max="7434" width="18.5703125" style="14" customWidth="1"/>
    <col min="7435" max="7435" width="17.85546875" style="14" customWidth="1"/>
    <col min="7436" max="7458" width="19" style="14" customWidth="1"/>
    <col min="7459" max="7682" width="9.140625" style="14"/>
    <col min="7683" max="7683" width="3.140625" style="14" customWidth="1"/>
    <col min="7684" max="7684" width="4.5703125" style="14" bestFit="1" customWidth="1"/>
    <col min="7685" max="7685" width="28.5703125" style="14" customWidth="1"/>
    <col min="7686" max="7686" width="32.42578125" style="14" customWidth="1"/>
    <col min="7687" max="7687" width="14.85546875" style="14" customWidth="1"/>
    <col min="7688" max="7688" width="15.5703125" style="14" customWidth="1"/>
    <col min="7689" max="7689" width="19.42578125" style="14" customWidth="1"/>
    <col min="7690" max="7690" width="18.5703125" style="14" customWidth="1"/>
    <col min="7691" max="7691" width="17.85546875" style="14" customWidth="1"/>
    <col min="7692" max="7714" width="19" style="14" customWidth="1"/>
    <col min="7715" max="7938" width="9.140625" style="14"/>
    <col min="7939" max="7939" width="3.140625" style="14" customWidth="1"/>
    <col min="7940" max="7940" width="4.5703125" style="14" bestFit="1" customWidth="1"/>
    <col min="7941" max="7941" width="28.5703125" style="14" customWidth="1"/>
    <col min="7942" max="7942" width="32.42578125" style="14" customWidth="1"/>
    <col min="7943" max="7943" width="14.85546875" style="14" customWidth="1"/>
    <col min="7944" max="7944" width="15.5703125" style="14" customWidth="1"/>
    <col min="7945" max="7945" width="19.42578125" style="14" customWidth="1"/>
    <col min="7946" max="7946" width="18.5703125" style="14" customWidth="1"/>
    <col min="7947" max="7947" width="17.85546875" style="14" customWidth="1"/>
    <col min="7948" max="7970" width="19" style="14" customWidth="1"/>
    <col min="7971" max="8194" width="9.140625" style="14"/>
    <col min="8195" max="8195" width="3.140625" style="14" customWidth="1"/>
    <col min="8196" max="8196" width="4.5703125" style="14" bestFit="1" customWidth="1"/>
    <col min="8197" max="8197" width="28.5703125" style="14" customWidth="1"/>
    <col min="8198" max="8198" width="32.42578125" style="14" customWidth="1"/>
    <col min="8199" max="8199" width="14.85546875" style="14" customWidth="1"/>
    <col min="8200" max="8200" width="15.5703125" style="14" customWidth="1"/>
    <col min="8201" max="8201" width="19.42578125" style="14" customWidth="1"/>
    <col min="8202" max="8202" width="18.5703125" style="14" customWidth="1"/>
    <col min="8203" max="8203" width="17.85546875" style="14" customWidth="1"/>
    <col min="8204" max="8226" width="19" style="14" customWidth="1"/>
    <col min="8227" max="8450" width="9.140625" style="14"/>
    <col min="8451" max="8451" width="3.140625" style="14" customWidth="1"/>
    <col min="8452" max="8452" width="4.5703125" style="14" bestFit="1" customWidth="1"/>
    <col min="8453" max="8453" width="28.5703125" style="14" customWidth="1"/>
    <col min="8454" max="8454" width="32.42578125" style="14" customWidth="1"/>
    <col min="8455" max="8455" width="14.85546875" style="14" customWidth="1"/>
    <col min="8456" max="8456" width="15.5703125" style="14" customWidth="1"/>
    <col min="8457" max="8457" width="19.42578125" style="14" customWidth="1"/>
    <col min="8458" max="8458" width="18.5703125" style="14" customWidth="1"/>
    <col min="8459" max="8459" width="17.85546875" style="14" customWidth="1"/>
    <col min="8460" max="8482" width="19" style="14" customWidth="1"/>
    <col min="8483" max="8706" width="9.140625" style="14"/>
    <col min="8707" max="8707" width="3.140625" style="14" customWidth="1"/>
    <col min="8708" max="8708" width="4.5703125" style="14" bestFit="1" customWidth="1"/>
    <col min="8709" max="8709" width="28.5703125" style="14" customWidth="1"/>
    <col min="8710" max="8710" width="32.42578125" style="14" customWidth="1"/>
    <col min="8711" max="8711" width="14.85546875" style="14" customWidth="1"/>
    <col min="8712" max="8712" width="15.5703125" style="14" customWidth="1"/>
    <col min="8713" max="8713" width="19.42578125" style="14" customWidth="1"/>
    <col min="8714" max="8714" width="18.5703125" style="14" customWidth="1"/>
    <col min="8715" max="8715" width="17.85546875" style="14" customWidth="1"/>
    <col min="8716" max="8738" width="19" style="14" customWidth="1"/>
    <col min="8739" max="8962" width="9.140625" style="14"/>
    <col min="8963" max="8963" width="3.140625" style="14" customWidth="1"/>
    <col min="8964" max="8964" width="4.5703125" style="14" bestFit="1" customWidth="1"/>
    <col min="8965" max="8965" width="28.5703125" style="14" customWidth="1"/>
    <col min="8966" max="8966" width="32.42578125" style="14" customWidth="1"/>
    <col min="8967" max="8967" width="14.85546875" style="14" customWidth="1"/>
    <col min="8968" max="8968" width="15.5703125" style="14" customWidth="1"/>
    <col min="8969" max="8969" width="19.42578125" style="14" customWidth="1"/>
    <col min="8970" max="8970" width="18.5703125" style="14" customWidth="1"/>
    <col min="8971" max="8971" width="17.85546875" style="14" customWidth="1"/>
    <col min="8972" max="8994" width="19" style="14" customWidth="1"/>
    <col min="8995" max="9218" width="9.140625" style="14"/>
    <col min="9219" max="9219" width="3.140625" style="14" customWidth="1"/>
    <col min="9220" max="9220" width="4.5703125" style="14" bestFit="1" customWidth="1"/>
    <col min="9221" max="9221" width="28.5703125" style="14" customWidth="1"/>
    <col min="9222" max="9222" width="32.42578125" style="14" customWidth="1"/>
    <col min="9223" max="9223" width="14.85546875" style="14" customWidth="1"/>
    <col min="9224" max="9224" width="15.5703125" style="14" customWidth="1"/>
    <col min="9225" max="9225" width="19.42578125" style="14" customWidth="1"/>
    <col min="9226" max="9226" width="18.5703125" style="14" customWidth="1"/>
    <col min="9227" max="9227" width="17.85546875" style="14" customWidth="1"/>
    <col min="9228" max="9250" width="19" style="14" customWidth="1"/>
    <col min="9251" max="9474" width="9.140625" style="14"/>
    <col min="9475" max="9475" width="3.140625" style="14" customWidth="1"/>
    <col min="9476" max="9476" width="4.5703125" style="14" bestFit="1" customWidth="1"/>
    <col min="9477" max="9477" width="28.5703125" style="14" customWidth="1"/>
    <col min="9478" max="9478" width="32.42578125" style="14" customWidth="1"/>
    <col min="9479" max="9479" width="14.85546875" style="14" customWidth="1"/>
    <col min="9480" max="9480" width="15.5703125" style="14" customWidth="1"/>
    <col min="9481" max="9481" width="19.42578125" style="14" customWidth="1"/>
    <col min="9482" max="9482" width="18.5703125" style="14" customWidth="1"/>
    <col min="9483" max="9483" width="17.85546875" style="14" customWidth="1"/>
    <col min="9484" max="9506" width="19" style="14" customWidth="1"/>
    <col min="9507" max="9730" width="9.140625" style="14"/>
    <col min="9731" max="9731" width="3.140625" style="14" customWidth="1"/>
    <col min="9732" max="9732" width="4.5703125" style="14" bestFit="1" customWidth="1"/>
    <col min="9733" max="9733" width="28.5703125" style="14" customWidth="1"/>
    <col min="9734" max="9734" width="32.42578125" style="14" customWidth="1"/>
    <col min="9735" max="9735" width="14.85546875" style="14" customWidth="1"/>
    <col min="9736" max="9736" width="15.5703125" style="14" customWidth="1"/>
    <col min="9737" max="9737" width="19.42578125" style="14" customWidth="1"/>
    <col min="9738" max="9738" width="18.5703125" style="14" customWidth="1"/>
    <col min="9739" max="9739" width="17.85546875" style="14" customWidth="1"/>
    <col min="9740" max="9762" width="19" style="14" customWidth="1"/>
    <col min="9763" max="9986" width="9.140625" style="14"/>
    <col min="9987" max="9987" width="3.140625" style="14" customWidth="1"/>
    <col min="9988" max="9988" width="4.5703125" style="14" bestFit="1" customWidth="1"/>
    <col min="9989" max="9989" width="28.5703125" style="14" customWidth="1"/>
    <col min="9990" max="9990" width="32.42578125" style="14" customWidth="1"/>
    <col min="9991" max="9991" width="14.85546875" style="14" customWidth="1"/>
    <col min="9992" max="9992" width="15.5703125" style="14" customWidth="1"/>
    <col min="9993" max="9993" width="19.42578125" style="14" customWidth="1"/>
    <col min="9994" max="9994" width="18.5703125" style="14" customWidth="1"/>
    <col min="9995" max="9995" width="17.85546875" style="14" customWidth="1"/>
    <col min="9996" max="10018" width="19" style="14" customWidth="1"/>
    <col min="10019" max="10242" width="9.140625" style="14"/>
    <col min="10243" max="10243" width="3.140625" style="14" customWidth="1"/>
    <col min="10244" max="10244" width="4.5703125" style="14" bestFit="1" customWidth="1"/>
    <col min="10245" max="10245" width="28.5703125" style="14" customWidth="1"/>
    <col min="10246" max="10246" width="32.42578125" style="14" customWidth="1"/>
    <col min="10247" max="10247" width="14.85546875" style="14" customWidth="1"/>
    <col min="10248" max="10248" width="15.5703125" style="14" customWidth="1"/>
    <col min="10249" max="10249" width="19.42578125" style="14" customWidth="1"/>
    <col min="10250" max="10250" width="18.5703125" style="14" customWidth="1"/>
    <col min="10251" max="10251" width="17.85546875" style="14" customWidth="1"/>
    <col min="10252" max="10274" width="19" style="14" customWidth="1"/>
    <col min="10275" max="10498" width="9.140625" style="14"/>
    <col min="10499" max="10499" width="3.140625" style="14" customWidth="1"/>
    <col min="10500" max="10500" width="4.5703125" style="14" bestFit="1" customWidth="1"/>
    <col min="10501" max="10501" width="28.5703125" style="14" customWidth="1"/>
    <col min="10502" max="10502" width="32.42578125" style="14" customWidth="1"/>
    <col min="10503" max="10503" width="14.85546875" style="14" customWidth="1"/>
    <col min="10504" max="10504" width="15.5703125" style="14" customWidth="1"/>
    <col min="10505" max="10505" width="19.42578125" style="14" customWidth="1"/>
    <col min="10506" max="10506" width="18.5703125" style="14" customWidth="1"/>
    <col min="10507" max="10507" width="17.85546875" style="14" customWidth="1"/>
    <col min="10508" max="10530" width="19" style="14" customWidth="1"/>
    <col min="10531" max="10754" width="9.140625" style="14"/>
    <col min="10755" max="10755" width="3.140625" style="14" customWidth="1"/>
    <col min="10756" max="10756" width="4.5703125" style="14" bestFit="1" customWidth="1"/>
    <col min="10757" max="10757" width="28.5703125" style="14" customWidth="1"/>
    <col min="10758" max="10758" width="32.42578125" style="14" customWidth="1"/>
    <col min="10759" max="10759" width="14.85546875" style="14" customWidth="1"/>
    <col min="10760" max="10760" width="15.5703125" style="14" customWidth="1"/>
    <col min="10761" max="10761" width="19.42578125" style="14" customWidth="1"/>
    <col min="10762" max="10762" width="18.5703125" style="14" customWidth="1"/>
    <col min="10763" max="10763" width="17.85546875" style="14" customWidth="1"/>
    <col min="10764" max="10786" width="19" style="14" customWidth="1"/>
    <col min="10787" max="11010" width="9.140625" style="14"/>
    <col min="11011" max="11011" width="3.140625" style="14" customWidth="1"/>
    <col min="11012" max="11012" width="4.5703125" style="14" bestFit="1" customWidth="1"/>
    <col min="11013" max="11013" width="28.5703125" style="14" customWidth="1"/>
    <col min="11014" max="11014" width="32.42578125" style="14" customWidth="1"/>
    <col min="11015" max="11015" width="14.85546875" style="14" customWidth="1"/>
    <col min="11016" max="11016" width="15.5703125" style="14" customWidth="1"/>
    <col min="11017" max="11017" width="19.42578125" style="14" customWidth="1"/>
    <col min="11018" max="11018" width="18.5703125" style="14" customWidth="1"/>
    <col min="11019" max="11019" width="17.85546875" style="14" customWidth="1"/>
    <col min="11020" max="11042" width="19" style="14" customWidth="1"/>
    <col min="11043" max="11266" width="9.140625" style="14"/>
    <col min="11267" max="11267" width="3.140625" style="14" customWidth="1"/>
    <col min="11268" max="11268" width="4.5703125" style="14" bestFit="1" customWidth="1"/>
    <col min="11269" max="11269" width="28.5703125" style="14" customWidth="1"/>
    <col min="11270" max="11270" width="32.42578125" style="14" customWidth="1"/>
    <col min="11271" max="11271" width="14.85546875" style="14" customWidth="1"/>
    <col min="11272" max="11272" width="15.5703125" style="14" customWidth="1"/>
    <col min="11273" max="11273" width="19.42578125" style="14" customWidth="1"/>
    <col min="11274" max="11274" width="18.5703125" style="14" customWidth="1"/>
    <col min="11275" max="11275" width="17.85546875" style="14" customWidth="1"/>
    <col min="11276" max="11298" width="19" style="14" customWidth="1"/>
    <col min="11299" max="11522" width="9.140625" style="14"/>
    <col min="11523" max="11523" width="3.140625" style="14" customWidth="1"/>
    <col min="11524" max="11524" width="4.5703125" style="14" bestFit="1" customWidth="1"/>
    <col min="11525" max="11525" width="28.5703125" style="14" customWidth="1"/>
    <col min="11526" max="11526" width="32.42578125" style="14" customWidth="1"/>
    <col min="11527" max="11527" width="14.85546875" style="14" customWidth="1"/>
    <col min="11528" max="11528" width="15.5703125" style="14" customWidth="1"/>
    <col min="11529" max="11529" width="19.42578125" style="14" customWidth="1"/>
    <col min="11530" max="11530" width="18.5703125" style="14" customWidth="1"/>
    <col min="11531" max="11531" width="17.85546875" style="14" customWidth="1"/>
    <col min="11532" max="11554" width="19" style="14" customWidth="1"/>
    <col min="11555" max="11778" width="9.140625" style="14"/>
    <col min="11779" max="11779" width="3.140625" style="14" customWidth="1"/>
    <col min="11780" max="11780" width="4.5703125" style="14" bestFit="1" customWidth="1"/>
    <col min="11781" max="11781" width="28.5703125" style="14" customWidth="1"/>
    <col min="11782" max="11782" width="32.42578125" style="14" customWidth="1"/>
    <col min="11783" max="11783" width="14.85546875" style="14" customWidth="1"/>
    <col min="11784" max="11784" width="15.5703125" style="14" customWidth="1"/>
    <col min="11785" max="11785" width="19.42578125" style="14" customWidth="1"/>
    <col min="11786" max="11786" width="18.5703125" style="14" customWidth="1"/>
    <col min="11787" max="11787" width="17.85546875" style="14" customWidth="1"/>
    <col min="11788" max="11810" width="19" style="14" customWidth="1"/>
    <col min="11811" max="12034" width="9.140625" style="14"/>
    <col min="12035" max="12035" width="3.140625" style="14" customWidth="1"/>
    <col min="12036" max="12036" width="4.5703125" style="14" bestFit="1" customWidth="1"/>
    <col min="12037" max="12037" width="28.5703125" style="14" customWidth="1"/>
    <col min="12038" max="12038" width="32.42578125" style="14" customWidth="1"/>
    <col min="12039" max="12039" width="14.85546875" style="14" customWidth="1"/>
    <col min="12040" max="12040" width="15.5703125" style="14" customWidth="1"/>
    <col min="12041" max="12041" width="19.42578125" style="14" customWidth="1"/>
    <col min="12042" max="12042" width="18.5703125" style="14" customWidth="1"/>
    <col min="12043" max="12043" width="17.85546875" style="14" customWidth="1"/>
    <col min="12044" max="12066" width="19" style="14" customWidth="1"/>
    <col min="12067" max="12290" width="9.140625" style="14"/>
    <col min="12291" max="12291" width="3.140625" style="14" customWidth="1"/>
    <col min="12292" max="12292" width="4.5703125" style="14" bestFit="1" customWidth="1"/>
    <col min="12293" max="12293" width="28.5703125" style="14" customWidth="1"/>
    <col min="12294" max="12294" width="32.42578125" style="14" customWidth="1"/>
    <col min="12295" max="12295" width="14.85546875" style="14" customWidth="1"/>
    <col min="12296" max="12296" width="15.5703125" style="14" customWidth="1"/>
    <col min="12297" max="12297" width="19.42578125" style="14" customWidth="1"/>
    <col min="12298" max="12298" width="18.5703125" style="14" customWidth="1"/>
    <col min="12299" max="12299" width="17.85546875" style="14" customWidth="1"/>
    <col min="12300" max="12322" width="19" style="14" customWidth="1"/>
    <col min="12323" max="12546" width="9.140625" style="14"/>
    <col min="12547" max="12547" width="3.140625" style="14" customWidth="1"/>
    <col min="12548" max="12548" width="4.5703125" style="14" bestFit="1" customWidth="1"/>
    <col min="12549" max="12549" width="28.5703125" style="14" customWidth="1"/>
    <col min="12550" max="12550" width="32.42578125" style="14" customWidth="1"/>
    <col min="12551" max="12551" width="14.85546875" style="14" customWidth="1"/>
    <col min="12552" max="12552" width="15.5703125" style="14" customWidth="1"/>
    <col min="12553" max="12553" width="19.42578125" style="14" customWidth="1"/>
    <col min="12554" max="12554" width="18.5703125" style="14" customWidth="1"/>
    <col min="12555" max="12555" width="17.85546875" style="14" customWidth="1"/>
    <col min="12556" max="12578" width="19" style="14" customWidth="1"/>
    <col min="12579" max="12802" width="9.140625" style="14"/>
    <col min="12803" max="12803" width="3.140625" style="14" customWidth="1"/>
    <col min="12804" max="12804" width="4.5703125" style="14" bestFit="1" customWidth="1"/>
    <col min="12805" max="12805" width="28.5703125" style="14" customWidth="1"/>
    <col min="12806" max="12806" width="32.42578125" style="14" customWidth="1"/>
    <col min="12807" max="12807" width="14.85546875" style="14" customWidth="1"/>
    <col min="12808" max="12808" width="15.5703125" style="14" customWidth="1"/>
    <col min="12809" max="12809" width="19.42578125" style="14" customWidth="1"/>
    <col min="12810" max="12810" width="18.5703125" style="14" customWidth="1"/>
    <col min="12811" max="12811" width="17.85546875" style="14" customWidth="1"/>
    <col min="12812" max="12834" width="19" style="14" customWidth="1"/>
    <col min="12835" max="13058" width="9.140625" style="14"/>
    <col min="13059" max="13059" width="3.140625" style="14" customWidth="1"/>
    <col min="13060" max="13060" width="4.5703125" style="14" bestFit="1" customWidth="1"/>
    <col min="13061" max="13061" width="28.5703125" style="14" customWidth="1"/>
    <col min="13062" max="13062" width="32.42578125" style="14" customWidth="1"/>
    <col min="13063" max="13063" width="14.85546875" style="14" customWidth="1"/>
    <col min="13064" max="13064" width="15.5703125" style="14" customWidth="1"/>
    <col min="13065" max="13065" width="19.42578125" style="14" customWidth="1"/>
    <col min="13066" max="13066" width="18.5703125" style="14" customWidth="1"/>
    <col min="13067" max="13067" width="17.85546875" style="14" customWidth="1"/>
    <col min="13068" max="13090" width="19" style="14" customWidth="1"/>
    <col min="13091" max="13314" width="9.140625" style="14"/>
    <col min="13315" max="13315" width="3.140625" style="14" customWidth="1"/>
    <col min="13316" max="13316" width="4.5703125" style="14" bestFit="1" customWidth="1"/>
    <col min="13317" max="13317" width="28.5703125" style="14" customWidth="1"/>
    <col min="13318" max="13318" width="32.42578125" style="14" customWidth="1"/>
    <col min="13319" max="13319" width="14.85546875" style="14" customWidth="1"/>
    <col min="13320" max="13320" width="15.5703125" style="14" customWidth="1"/>
    <col min="13321" max="13321" width="19.42578125" style="14" customWidth="1"/>
    <col min="13322" max="13322" width="18.5703125" style="14" customWidth="1"/>
    <col min="13323" max="13323" width="17.85546875" style="14" customWidth="1"/>
    <col min="13324" max="13346" width="19" style="14" customWidth="1"/>
    <col min="13347" max="13570" width="9.140625" style="14"/>
    <col min="13571" max="13571" width="3.140625" style="14" customWidth="1"/>
    <col min="13572" max="13572" width="4.5703125" style="14" bestFit="1" customWidth="1"/>
    <col min="13573" max="13573" width="28.5703125" style="14" customWidth="1"/>
    <col min="13574" max="13574" width="32.42578125" style="14" customWidth="1"/>
    <col min="13575" max="13575" width="14.85546875" style="14" customWidth="1"/>
    <col min="13576" max="13576" width="15.5703125" style="14" customWidth="1"/>
    <col min="13577" max="13577" width="19.42578125" style="14" customWidth="1"/>
    <col min="13578" max="13578" width="18.5703125" style="14" customWidth="1"/>
    <col min="13579" max="13579" width="17.85546875" style="14" customWidth="1"/>
    <col min="13580" max="13602" width="19" style="14" customWidth="1"/>
    <col min="13603" max="13826" width="9.140625" style="14"/>
    <col min="13827" max="13827" width="3.140625" style="14" customWidth="1"/>
    <col min="13828" max="13828" width="4.5703125" style="14" bestFit="1" customWidth="1"/>
    <col min="13829" max="13829" width="28.5703125" style="14" customWidth="1"/>
    <col min="13830" max="13830" width="32.42578125" style="14" customWidth="1"/>
    <col min="13831" max="13831" width="14.85546875" style="14" customWidth="1"/>
    <col min="13832" max="13832" width="15.5703125" style="14" customWidth="1"/>
    <col min="13833" max="13833" width="19.42578125" style="14" customWidth="1"/>
    <col min="13834" max="13834" width="18.5703125" style="14" customWidth="1"/>
    <col min="13835" max="13835" width="17.85546875" style="14" customWidth="1"/>
    <col min="13836" max="13858" width="19" style="14" customWidth="1"/>
    <col min="13859" max="14082" width="9.140625" style="14"/>
    <col min="14083" max="14083" width="3.140625" style="14" customWidth="1"/>
    <col min="14084" max="14084" width="4.5703125" style="14" bestFit="1" customWidth="1"/>
    <col min="14085" max="14085" width="28.5703125" style="14" customWidth="1"/>
    <col min="14086" max="14086" width="32.42578125" style="14" customWidth="1"/>
    <col min="14087" max="14087" width="14.85546875" style="14" customWidth="1"/>
    <col min="14088" max="14088" width="15.5703125" style="14" customWidth="1"/>
    <col min="14089" max="14089" width="19.42578125" style="14" customWidth="1"/>
    <col min="14090" max="14090" width="18.5703125" style="14" customWidth="1"/>
    <col min="14091" max="14091" width="17.85546875" style="14" customWidth="1"/>
    <col min="14092" max="14114" width="19" style="14" customWidth="1"/>
    <col min="14115" max="14338" width="9.140625" style="14"/>
    <col min="14339" max="14339" width="3.140625" style="14" customWidth="1"/>
    <col min="14340" max="14340" width="4.5703125" style="14" bestFit="1" customWidth="1"/>
    <col min="14341" max="14341" width="28.5703125" style="14" customWidth="1"/>
    <col min="14342" max="14342" width="32.42578125" style="14" customWidth="1"/>
    <col min="14343" max="14343" width="14.85546875" style="14" customWidth="1"/>
    <col min="14344" max="14344" width="15.5703125" style="14" customWidth="1"/>
    <col min="14345" max="14345" width="19.42578125" style="14" customWidth="1"/>
    <col min="14346" max="14346" width="18.5703125" style="14" customWidth="1"/>
    <col min="14347" max="14347" width="17.85546875" style="14" customWidth="1"/>
    <col min="14348" max="14370" width="19" style="14" customWidth="1"/>
    <col min="14371" max="14594" width="9.140625" style="14"/>
    <col min="14595" max="14595" width="3.140625" style="14" customWidth="1"/>
    <col min="14596" max="14596" width="4.5703125" style="14" bestFit="1" customWidth="1"/>
    <col min="14597" max="14597" width="28.5703125" style="14" customWidth="1"/>
    <col min="14598" max="14598" width="32.42578125" style="14" customWidth="1"/>
    <col min="14599" max="14599" width="14.85546875" style="14" customWidth="1"/>
    <col min="14600" max="14600" width="15.5703125" style="14" customWidth="1"/>
    <col min="14601" max="14601" width="19.42578125" style="14" customWidth="1"/>
    <col min="14602" max="14602" width="18.5703125" style="14" customWidth="1"/>
    <col min="14603" max="14603" width="17.85546875" style="14" customWidth="1"/>
    <col min="14604" max="14626" width="19" style="14" customWidth="1"/>
    <col min="14627" max="14850" width="9.140625" style="14"/>
    <col min="14851" max="14851" width="3.140625" style="14" customWidth="1"/>
    <col min="14852" max="14852" width="4.5703125" style="14" bestFit="1" customWidth="1"/>
    <col min="14853" max="14853" width="28.5703125" style="14" customWidth="1"/>
    <col min="14854" max="14854" width="32.42578125" style="14" customWidth="1"/>
    <col min="14855" max="14855" width="14.85546875" style="14" customWidth="1"/>
    <col min="14856" max="14856" width="15.5703125" style="14" customWidth="1"/>
    <col min="14857" max="14857" width="19.42578125" style="14" customWidth="1"/>
    <col min="14858" max="14858" width="18.5703125" style="14" customWidth="1"/>
    <col min="14859" max="14859" width="17.85546875" style="14" customWidth="1"/>
    <col min="14860" max="14882" width="19" style="14" customWidth="1"/>
    <col min="14883" max="15106" width="9.140625" style="14"/>
    <col min="15107" max="15107" width="3.140625" style="14" customWidth="1"/>
    <col min="15108" max="15108" width="4.5703125" style="14" bestFit="1" customWidth="1"/>
    <col min="15109" max="15109" width="28.5703125" style="14" customWidth="1"/>
    <col min="15110" max="15110" width="32.42578125" style="14" customWidth="1"/>
    <col min="15111" max="15111" width="14.85546875" style="14" customWidth="1"/>
    <col min="15112" max="15112" width="15.5703125" style="14" customWidth="1"/>
    <col min="15113" max="15113" width="19.42578125" style="14" customWidth="1"/>
    <col min="15114" max="15114" width="18.5703125" style="14" customWidth="1"/>
    <col min="15115" max="15115" width="17.85546875" style="14" customWidth="1"/>
    <col min="15116" max="15138" width="19" style="14" customWidth="1"/>
    <col min="15139" max="15362" width="9.140625" style="14"/>
    <col min="15363" max="15363" width="3.140625" style="14" customWidth="1"/>
    <col min="15364" max="15364" width="4.5703125" style="14" bestFit="1" customWidth="1"/>
    <col min="15365" max="15365" width="28.5703125" style="14" customWidth="1"/>
    <col min="15366" max="15366" width="32.42578125" style="14" customWidth="1"/>
    <col min="15367" max="15367" width="14.85546875" style="14" customWidth="1"/>
    <col min="15368" max="15368" width="15.5703125" style="14" customWidth="1"/>
    <col min="15369" max="15369" width="19.42578125" style="14" customWidth="1"/>
    <col min="15370" max="15370" width="18.5703125" style="14" customWidth="1"/>
    <col min="15371" max="15371" width="17.85546875" style="14" customWidth="1"/>
    <col min="15372" max="15394" width="19" style="14" customWidth="1"/>
    <col min="15395" max="15618" width="9.140625" style="14"/>
    <col min="15619" max="15619" width="3.140625" style="14" customWidth="1"/>
    <col min="15620" max="15620" width="4.5703125" style="14" bestFit="1" customWidth="1"/>
    <col min="15621" max="15621" width="28.5703125" style="14" customWidth="1"/>
    <col min="15622" max="15622" width="32.42578125" style="14" customWidth="1"/>
    <col min="15623" max="15623" width="14.85546875" style="14" customWidth="1"/>
    <col min="15624" max="15624" width="15.5703125" style="14" customWidth="1"/>
    <col min="15625" max="15625" width="19.42578125" style="14" customWidth="1"/>
    <col min="15626" max="15626" width="18.5703125" style="14" customWidth="1"/>
    <col min="15627" max="15627" width="17.85546875" style="14" customWidth="1"/>
    <col min="15628" max="15650" width="19" style="14" customWidth="1"/>
    <col min="15651" max="15874" width="9.140625" style="14"/>
    <col min="15875" max="15875" width="3.140625" style="14" customWidth="1"/>
    <col min="15876" max="15876" width="4.5703125" style="14" bestFit="1" customWidth="1"/>
    <col min="15877" max="15877" width="28.5703125" style="14" customWidth="1"/>
    <col min="15878" max="15878" width="32.42578125" style="14" customWidth="1"/>
    <col min="15879" max="15879" width="14.85546875" style="14" customWidth="1"/>
    <col min="15880" max="15880" width="15.5703125" style="14" customWidth="1"/>
    <col min="15881" max="15881" width="19.42578125" style="14" customWidth="1"/>
    <col min="15882" max="15882" width="18.5703125" style="14" customWidth="1"/>
    <col min="15883" max="15883" width="17.85546875" style="14" customWidth="1"/>
    <col min="15884" max="15906" width="19" style="14" customWidth="1"/>
    <col min="15907" max="16130" width="9.140625" style="14"/>
    <col min="16131" max="16131" width="3.140625" style="14" customWidth="1"/>
    <col min="16132" max="16132" width="4.5703125" style="14" bestFit="1" customWidth="1"/>
    <col min="16133" max="16133" width="28.5703125" style="14" customWidth="1"/>
    <col min="16134" max="16134" width="32.42578125" style="14" customWidth="1"/>
    <col min="16135" max="16135" width="14.85546875" style="14" customWidth="1"/>
    <col min="16136" max="16136" width="15.5703125" style="14" customWidth="1"/>
    <col min="16137" max="16137" width="19.42578125" style="14" customWidth="1"/>
    <col min="16138" max="16138" width="18.5703125" style="14" customWidth="1"/>
    <col min="16139" max="16139" width="17.85546875" style="14" customWidth="1"/>
    <col min="16140" max="16162" width="19" style="14" customWidth="1"/>
    <col min="16163" max="16384" width="9.140625" style="14"/>
  </cols>
  <sheetData>
    <row r="1" spans="1:13" s="138" customFormat="1" ht="19.5" customHeight="1" x14ac:dyDescent="0.2">
      <c r="A1" s="256" t="s">
        <v>319</v>
      </c>
      <c r="B1" s="256"/>
      <c r="C1" s="256" t="s">
        <v>26</v>
      </c>
      <c r="D1" s="256"/>
      <c r="E1" s="79" t="s">
        <v>320</v>
      </c>
      <c r="F1" s="79" t="s">
        <v>29</v>
      </c>
      <c r="G1" s="79" t="s">
        <v>30</v>
      </c>
      <c r="H1" s="79" t="s">
        <v>87</v>
      </c>
      <c r="I1" s="79" t="s">
        <v>31</v>
      </c>
      <c r="J1" s="79" t="s">
        <v>32</v>
      </c>
      <c r="K1" s="79" t="s">
        <v>33</v>
      </c>
      <c r="L1" s="79" t="s">
        <v>298</v>
      </c>
      <c r="M1" s="137"/>
    </row>
    <row r="2" spans="1:13" ht="24" customHeight="1" x14ac:dyDescent="0.2">
      <c r="A2" s="267" t="s">
        <v>122</v>
      </c>
      <c r="B2" s="267"/>
      <c r="C2" s="267" t="s">
        <v>3</v>
      </c>
      <c r="D2" s="267" t="s">
        <v>123</v>
      </c>
      <c r="E2" s="209" cm="1">
        <f t="array" ref="E2">+SUMIFS('Recursos aprobados'!G:G,'Recursos aprobados'!A:A,'FORM RESUMEN '!$D$5,'Recursos aprobados'!F:F,"AOMC",'Recursos aprobados'!E:E,'FORM 1 GASTO AO&amp;M-C SPEE'!A2:A2)</f>
        <v>0</v>
      </c>
      <c r="F2" s="207">
        <v>0</v>
      </c>
      <c r="G2" s="207">
        <v>0</v>
      </c>
      <c r="H2" s="207">
        <v>0</v>
      </c>
      <c r="I2" s="207">
        <v>0</v>
      </c>
      <c r="J2" s="207">
        <v>0</v>
      </c>
      <c r="K2" s="207">
        <v>0</v>
      </c>
      <c r="L2" s="207">
        <v>0</v>
      </c>
      <c r="M2" s="91"/>
    </row>
    <row r="3" spans="1:13" ht="24" customHeight="1" x14ac:dyDescent="0.2">
      <c r="A3" s="267" t="s">
        <v>124</v>
      </c>
      <c r="B3" s="267"/>
      <c r="C3" s="267"/>
      <c r="D3" s="267"/>
      <c r="E3" s="209" cm="1">
        <f t="array" ref="E3">+SUMIFS('Recursos aprobados'!G:G,'Recursos aprobados'!A:A,'FORM RESUMEN '!$D$5,'Recursos aprobados'!F:F,"AOMC",'Recursos aprobados'!E:E,'FORM 1 GASTO AO&amp;M-C SPEE'!A3:A3)</f>
        <v>0</v>
      </c>
      <c r="F3" s="207">
        <v>0</v>
      </c>
      <c r="G3" s="207">
        <v>0</v>
      </c>
      <c r="H3" s="207">
        <v>0</v>
      </c>
      <c r="I3" s="207">
        <v>0</v>
      </c>
      <c r="J3" s="207">
        <v>0</v>
      </c>
      <c r="K3" s="207">
        <v>0</v>
      </c>
      <c r="L3" s="207">
        <v>0</v>
      </c>
      <c r="M3" s="91"/>
    </row>
    <row r="4" spans="1:13" ht="24" customHeight="1" x14ac:dyDescent="0.2">
      <c r="A4" s="267" t="s">
        <v>125</v>
      </c>
      <c r="B4" s="267"/>
      <c r="C4" s="267" t="s">
        <v>4</v>
      </c>
      <c r="D4" s="267"/>
      <c r="E4" s="209" cm="1">
        <f t="array" ref="E4">+SUMIFS('Recursos aprobados'!G:G,'Recursos aprobados'!A:A,'FORM RESUMEN '!$D$5,'Recursos aprobados'!F:F,"AOMC",'Recursos aprobados'!E:E,'FORM 1 GASTO AO&amp;M-C SPEE'!A4:A4)</f>
        <v>0</v>
      </c>
      <c r="F4" s="207">
        <v>0</v>
      </c>
      <c r="G4" s="207">
        <v>0</v>
      </c>
      <c r="H4" s="207">
        <v>0</v>
      </c>
      <c r="I4" s="207">
        <v>0</v>
      </c>
      <c r="J4" s="207">
        <v>0</v>
      </c>
      <c r="K4" s="207">
        <v>0</v>
      </c>
      <c r="L4" s="207">
        <v>0</v>
      </c>
      <c r="M4" s="91"/>
    </row>
    <row r="5" spans="1:13" ht="24" customHeight="1" x14ac:dyDescent="0.2">
      <c r="A5" s="267" t="s">
        <v>126</v>
      </c>
      <c r="B5" s="267"/>
      <c r="C5" s="267"/>
      <c r="D5" s="267"/>
      <c r="E5" s="209" cm="1">
        <f t="array" ref="E5">+SUMIFS('Recursos aprobados'!G:G,'Recursos aprobados'!A:A,'FORM RESUMEN '!$D$5,'Recursos aprobados'!F:F,"AOMC",'Recursos aprobados'!E:E,'FORM 1 GASTO AO&amp;M-C SPEE'!A5:A5)</f>
        <v>0</v>
      </c>
      <c r="F5" s="207">
        <v>0</v>
      </c>
      <c r="G5" s="207">
        <v>0</v>
      </c>
      <c r="H5" s="207">
        <v>0</v>
      </c>
      <c r="I5" s="207">
        <v>0</v>
      </c>
      <c r="J5" s="207">
        <v>0</v>
      </c>
      <c r="K5" s="207">
        <v>0</v>
      </c>
      <c r="L5" s="207">
        <v>0</v>
      </c>
      <c r="M5" s="91"/>
    </row>
    <row r="6" spans="1:13" ht="24" customHeight="1" x14ac:dyDescent="0.2">
      <c r="A6" s="267" t="s">
        <v>127</v>
      </c>
      <c r="B6" s="267"/>
      <c r="C6" s="267"/>
      <c r="D6" s="267"/>
      <c r="E6" s="209" cm="1">
        <f t="array" ref="E6">+SUMIFS('Recursos aprobados'!G:G,'Recursos aprobados'!A:A,'FORM RESUMEN '!$D$5,'Recursos aprobados'!F:F,"AOMC",'Recursos aprobados'!E:E,'FORM 1 GASTO AO&amp;M-C SPEE'!A6:A6)</f>
        <v>0</v>
      </c>
      <c r="F6" s="207">
        <v>0</v>
      </c>
      <c r="G6" s="207">
        <v>0</v>
      </c>
      <c r="H6" s="207">
        <v>0</v>
      </c>
      <c r="I6" s="207">
        <v>0</v>
      </c>
      <c r="J6" s="207">
        <v>0</v>
      </c>
      <c r="K6" s="207">
        <v>0</v>
      </c>
      <c r="L6" s="207">
        <v>0</v>
      </c>
      <c r="M6" s="91"/>
    </row>
    <row r="7" spans="1:13" ht="24" customHeight="1" x14ac:dyDescent="0.2">
      <c r="A7" s="267" t="s">
        <v>128</v>
      </c>
      <c r="B7" s="267"/>
      <c r="C7" s="139" t="s">
        <v>5</v>
      </c>
      <c r="D7" s="267"/>
      <c r="E7" s="209" cm="1">
        <f t="array" ref="E7">+SUMIFS('Recursos aprobados'!G:G,'Recursos aprobados'!A:A,'FORM RESUMEN '!$D$5,'Recursos aprobados'!F:F,"AOMC",'Recursos aprobados'!E:E,'FORM 1 GASTO AO&amp;M-C SPEE'!A7:A7)</f>
        <v>0</v>
      </c>
      <c r="F7" s="207">
        <v>0</v>
      </c>
      <c r="G7" s="207">
        <v>0</v>
      </c>
      <c r="H7" s="207">
        <v>0</v>
      </c>
      <c r="I7" s="207">
        <v>0</v>
      </c>
      <c r="J7" s="207">
        <v>0</v>
      </c>
      <c r="K7" s="207">
        <v>0</v>
      </c>
      <c r="L7" s="207">
        <v>0</v>
      </c>
      <c r="M7" s="91"/>
    </row>
    <row r="8" spans="1:13" ht="24" customHeight="1" x14ac:dyDescent="0.2">
      <c r="A8" s="267" t="s">
        <v>6</v>
      </c>
      <c r="B8" s="267"/>
      <c r="C8" s="132" t="s">
        <v>6</v>
      </c>
      <c r="D8" s="132" t="s">
        <v>6</v>
      </c>
      <c r="E8" s="209" cm="1">
        <f t="array" ref="E8">+SUMIFS('Recursos aprobados'!G:G,'Recursos aprobados'!A:A,'FORM RESUMEN '!$D$5,'Recursos aprobados'!F:F,"AOMC",'Recursos aprobados'!E:E,'FORM 1 GASTO AO&amp;M-C SPEE'!A8:A8)</f>
        <v>0</v>
      </c>
      <c r="F8" s="207">
        <v>0</v>
      </c>
      <c r="G8" s="207">
        <v>0</v>
      </c>
      <c r="H8" s="207">
        <v>0</v>
      </c>
      <c r="I8" s="207">
        <v>0</v>
      </c>
      <c r="J8" s="207">
        <v>0</v>
      </c>
      <c r="K8" s="207">
        <v>0</v>
      </c>
      <c r="L8" s="207">
        <v>0</v>
      </c>
      <c r="M8" s="91"/>
    </row>
    <row r="9" spans="1:13" ht="24" customHeight="1" x14ac:dyDescent="0.2">
      <c r="A9" s="267" t="s">
        <v>129</v>
      </c>
      <c r="B9" s="267"/>
      <c r="C9" s="132" t="s">
        <v>129</v>
      </c>
      <c r="D9" s="132" t="s">
        <v>129</v>
      </c>
      <c r="E9" s="209" cm="1">
        <f t="array" ref="E9">+SUMIFS('Recursos aprobados'!G:G,'Recursos aprobados'!A:A,'FORM RESUMEN '!$D$5,'Recursos aprobados'!F:F,"AOMC",'Recursos aprobados'!E:E,'FORM 1 GASTO AO&amp;M-C SPEE'!A9:A9)</f>
        <v>0</v>
      </c>
      <c r="F9" s="207">
        <v>0</v>
      </c>
      <c r="G9" s="207">
        <v>0</v>
      </c>
      <c r="H9" s="207">
        <v>0</v>
      </c>
      <c r="I9" s="207">
        <v>0</v>
      </c>
      <c r="J9" s="207">
        <v>0</v>
      </c>
      <c r="K9" s="207">
        <v>0</v>
      </c>
      <c r="L9" s="207">
        <v>0</v>
      </c>
      <c r="M9" s="91"/>
    </row>
    <row r="10" spans="1:13" ht="24" customHeight="1" x14ac:dyDescent="0.2">
      <c r="A10" s="266" t="s">
        <v>294</v>
      </c>
      <c r="B10" s="266"/>
      <c r="C10" s="266"/>
      <c r="D10" s="266"/>
      <c r="E10" s="208">
        <f>SUM(E2:E9)</f>
        <v>0</v>
      </c>
      <c r="F10" s="208">
        <f t="shared" ref="F10:L10" si="0">SUM(F2:F9)</f>
        <v>0</v>
      </c>
      <c r="G10" s="208">
        <f t="shared" si="0"/>
        <v>0</v>
      </c>
      <c r="H10" s="208">
        <f>SUM(H2:H9)</f>
        <v>0</v>
      </c>
      <c r="I10" s="208">
        <f t="shared" si="0"/>
        <v>0</v>
      </c>
      <c r="J10" s="208">
        <f t="shared" si="0"/>
        <v>0</v>
      </c>
      <c r="K10" s="208">
        <f t="shared" si="0"/>
        <v>0</v>
      </c>
      <c r="L10" s="208">
        <f t="shared" si="0"/>
        <v>0</v>
      </c>
      <c r="M10" s="91"/>
    </row>
    <row r="11" spans="1:13" ht="10.5" customHeight="1" x14ac:dyDescent="0.2">
      <c r="A11" s="133"/>
      <c r="B11" s="133"/>
      <c r="C11" s="133"/>
      <c r="D11" s="133"/>
      <c r="E11" s="134"/>
      <c r="F11" s="134"/>
      <c r="G11" s="134"/>
      <c r="H11" s="134"/>
      <c r="I11" s="134"/>
      <c r="J11" s="134"/>
      <c r="K11" s="135"/>
      <c r="L11" s="134"/>
      <c r="M11" s="91"/>
    </row>
    <row r="12" spans="1:13" ht="24" customHeight="1" x14ac:dyDescent="0.2">
      <c r="A12" s="268" t="s">
        <v>84</v>
      </c>
      <c r="B12" s="269"/>
      <c r="C12" s="229">
        <v>0</v>
      </c>
      <c r="D12" s="133"/>
      <c r="E12" s="134" t="s">
        <v>130</v>
      </c>
      <c r="F12" s="134"/>
      <c r="G12" s="134"/>
      <c r="H12" s="134"/>
      <c r="I12" s="134" t="s">
        <v>314</v>
      </c>
      <c r="J12" s="134"/>
      <c r="K12" s="134"/>
      <c r="L12" s="134"/>
      <c r="M12" s="141"/>
    </row>
    <row r="13" spans="1:13" ht="31.5" customHeight="1" x14ac:dyDescent="0.2">
      <c r="A13" s="270" t="s">
        <v>347</v>
      </c>
      <c r="B13" s="271"/>
      <c r="C13" s="230">
        <f>+C12+K10</f>
        <v>0</v>
      </c>
      <c r="D13" s="136"/>
      <c r="E13" s="135"/>
      <c r="F13" s="135"/>
      <c r="G13" s="135"/>
      <c r="H13" s="135"/>
      <c r="I13" s="135"/>
      <c r="J13" s="135"/>
      <c r="K13" s="134"/>
      <c r="L13" s="134"/>
      <c r="M13" s="141"/>
    </row>
    <row r="14" spans="1:13" x14ac:dyDescent="0.2">
      <c r="A14" s="133"/>
      <c r="B14" s="133"/>
      <c r="C14" s="133"/>
      <c r="D14" s="136"/>
      <c r="E14" s="135"/>
      <c r="F14" s="134"/>
      <c r="G14" s="134"/>
      <c r="H14" s="134"/>
      <c r="I14" s="134"/>
      <c r="J14" s="134"/>
      <c r="K14" s="134"/>
      <c r="L14" s="134"/>
      <c r="M14" s="91"/>
    </row>
    <row r="15" spans="1:13" x14ac:dyDescent="0.2">
      <c r="D15" s="142"/>
      <c r="E15" s="143"/>
      <c r="F15" s="142"/>
      <c r="G15" s="142"/>
      <c r="H15" s="142"/>
      <c r="I15" s="142"/>
      <c r="J15" s="142"/>
      <c r="K15" s="142"/>
      <c r="L15" s="142"/>
    </row>
    <row r="23" spans="3:3" x14ac:dyDescent="0.2">
      <c r="C23" s="14" t="s">
        <v>268</v>
      </c>
    </row>
  </sheetData>
  <mergeCells count="16">
    <mergeCell ref="A12:B12"/>
    <mergeCell ref="A13:B13"/>
    <mergeCell ref="A2:B2"/>
    <mergeCell ref="C2:C3"/>
    <mergeCell ref="D2:D7"/>
    <mergeCell ref="A3:B3"/>
    <mergeCell ref="A4:B4"/>
    <mergeCell ref="A9:B9"/>
    <mergeCell ref="A1:B1"/>
    <mergeCell ref="C1:D1"/>
    <mergeCell ref="A10:D10"/>
    <mergeCell ref="C4:C6"/>
    <mergeCell ref="A5:B5"/>
    <mergeCell ref="A6:B6"/>
    <mergeCell ref="A7:B7"/>
    <mergeCell ref="A8:B8"/>
  </mergeCells>
  <dataValidations count="2">
    <dataValidation type="decimal" operator="greaterThanOrEqual" allowBlank="1" showInputMessage="1" showErrorMessage="1" error="El dato ingresado debe ser numérico y mayor y positivo." sqref="F2:F9 H2:L9 C12" xr:uid="{00000000-0002-0000-0800-000000000000}">
      <formula1>0</formula1>
    </dataValidation>
    <dataValidation type="decimal" operator="greaterThanOrEqual" allowBlank="1" showInputMessage="1" showErrorMessage="1" error="El dato ingresado debe ser numérico." sqref="G2:G9" xr:uid="{00000000-0002-0000-0800-000001000000}">
      <formula1>-9999999999</formula1>
    </dataValidation>
  </dataValidations>
  <pageMargins left="0.7" right="0.7" top="0.75" bottom="0.75" header="0.3" footer="0.3"/>
  <pageSetup scale="56" orientation="landscape" r:id="rId1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5"/>
  <dimension ref="A1:M280"/>
  <sheetViews>
    <sheetView showGridLines="0" view="pageBreakPreview" topLeftCell="D1" zoomScaleNormal="100" zoomScaleSheetLayoutView="100" workbookViewId="0">
      <selection activeCell="M2" sqref="M2"/>
    </sheetView>
  </sheetViews>
  <sheetFormatPr baseColWidth="10" defaultColWidth="9.140625" defaultRowHeight="12.75" x14ac:dyDescent="0.2"/>
  <cols>
    <col min="1" max="1" width="22.42578125" style="27" customWidth="1"/>
    <col min="2" max="2" width="17.7109375" style="27" customWidth="1"/>
    <col min="3" max="3" width="36.5703125" style="161" customWidth="1"/>
    <col min="4" max="4" width="26.85546875" style="155" customWidth="1"/>
    <col min="5" max="5" width="20.140625" style="162" customWidth="1"/>
    <col min="6" max="6" width="16.85546875" style="27" customWidth="1"/>
    <col min="7" max="13" width="20.85546875" style="27" customWidth="1"/>
    <col min="14" max="14" width="3.42578125" style="27" customWidth="1"/>
    <col min="15" max="36" width="19" style="27" customWidth="1"/>
    <col min="37" max="260" width="9.140625" style="27"/>
    <col min="261" max="261" width="3.140625" style="27" customWidth="1"/>
    <col min="262" max="262" width="4.5703125" style="27" bestFit="1" customWidth="1"/>
    <col min="263" max="263" width="28.5703125" style="27" customWidth="1"/>
    <col min="264" max="264" width="32.42578125" style="27" customWidth="1"/>
    <col min="265" max="265" width="14.85546875" style="27" customWidth="1"/>
    <col min="266" max="266" width="15.5703125" style="27" customWidth="1"/>
    <col min="267" max="267" width="19.42578125" style="27" customWidth="1"/>
    <col min="268" max="268" width="18.5703125" style="27" customWidth="1"/>
    <col min="269" max="269" width="17.85546875" style="27" customWidth="1"/>
    <col min="270" max="292" width="19" style="27" customWidth="1"/>
    <col min="293" max="516" width="9.140625" style="27"/>
    <col min="517" max="517" width="3.140625" style="27" customWidth="1"/>
    <col min="518" max="518" width="4.5703125" style="27" bestFit="1" customWidth="1"/>
    <col min="519" max="519" width="28.5703125" style="27" customWidth="1"/>
    <col min="520" max="520" width="32.42578125" style="27" customWidth="1"/>
    <col min="521" max="521" width="14.85546875" style="27" customWidth="1"/>
    <col min="522" max="522" width="15.5703125" style="27" customWidth="1"/>
    <col min="523" max="523" width="19.42578125" style="27" customWidth="1"/>
    <col min="524" max="524" width="18.5703125" style="27" customWidth="1"/>
    <col min="525" max="525" width="17.85546875" style="27" customWidth="1"/>
    <col min="526" max="548" width="19" style="27" customWidth="1"/>
    <col min="549" max="772" width="9.140625" style="27"/>
    <col min="773" max="773" width="3.140625" style="27" customWidth="1"/>
    <col min="774" max="774" width="4.5703125" style="27" bestFit="1" customWidth="1"/>
    <col min="775" max="775" width="28.5703125" style="27" customWidth="1"/>
    <col min="776" max="776" width="32.42578125" style="27" customWidth="1"/>
    <col min="777" max="777" width="14.85546875" style="27" customWidth="1"/>
    <col min="778" max="778" width="15.5703125" style="27" customWidth="1"/>
    <col min="779" max="779" width="19.42578125" style="27" customWidth="1"/>
    <col min="780" max="780" width="18.5703125" style="27" customWidth="1"/>
    <col min="781" max="781" width="17.85546875" style="27" customWidth="1"/>
    <col min="782" max="804" width="19" style="27" customWidth="1"/>
    <col min="805" max="1028" width="9.140625" style="27"/>
    <col min="1029" max="1029" width="3.140625" style="27" customWidth="1"/>
    <col min="1030" max="1030" width="4.5703125" style="27" bestFit="1" customWidth="1"/>
    <col min="1031" max="1031" width="28.5703125" style="27" customWidth="1"/>
    <col min="1032" max="1032" width="32.42578125" style="27" customWidth="1"/>
    <col min="1033" max="1033" width="14.85546875" style="27" customWidth="1"/>
    <col min="1034" max="1034" width="15.5703125" style="27" customWidth="1"/>
    <col min="1035" max="1035" width="19.42578125" style="27" customWidth="1"/>
    <col min="1036" max="1036" width="18.5703125" style="27" customWidth="1"/>
    <col min="1037" max="1037" width="17.85546875" style="27" customWidth="1"/>
    <col min="1038" max="1060" width="19" style="27" customWidth="1"/>
    <col min="1061" max="1284" width="9.140625" style="27"/>
    <col min="1285" max="1285" width="3.140625" style="27" customWidth="1"/>
    <col min="1286" max="1286" width="4.5703125" style="27" bestFit="1" customWidth="1"/>
    <col min="1287" max="1287" width="28.5703125" style="27" customWidth="1"/>
    <col min="1288" max="1288" width="32.42578125" style="27" customWidth="1"/>
    <col min="1289" max="1289" width="14.85546875" style="27" customWidth="1"/>
    <col min="1290" max="1290" width="15.5703125" style="27" customWidth="1"/>
    <col min="1291" max="1291" width="19.42578125" style="27" customWidth="1"/>
    <col min="1292" max="1292" width="18.5703125" style="27" customWidth="1"/>
    <col min="1293" max="1293" width="17.85546875" style="27" customWidth="1"/>
    <col min="1294" max="1316" width="19" style="27" customWidth="1"/>
    <col min="1317" max="1540" width="9.140625" style="27"/>
    <col min="1541" max="1541" width="3.140625" style="27" customWidth="1"/>
    <col min="1542" max="1542" width="4.5703125" style="27" bestFit="1" customWidth="1"/>
    <col min="1543" max="1543" width="28.5703125" style="27" customWidth="1"/>
    <col min="1544" max="1544" width="32.42578125" style="27" customWidth="1"/>
    <col min="1545" max="1545" width="14.85546875" style="27" customWidth="1"/>
    <col min="1546" max="1546" width="15.5703125" style="27" customWidth="1"/>
    <col min="1547" max="1547" width="19.42578125" style="27" customWidth="1"/>
    <col min="1548" max="1548" width="18.5703125" style="27" customWidth="1"/>
    <col min="1549" max="1549" width="17.85546875" style="27" customWidth="1"/>
    <col min="1550" max="1572" width="19" style="27" customWidth="1"/>
    <col min="1573" max="1796" width="9.140625" style="27"/>
    <col min="1797" max="1797" width="3.140625" style="27" customWidth="1"/>
    <col min="1798" max="1798" width="4.5703125" style="27" bestFit="1" customWidth="1"/>
    <col min="1799" max="1799" width="28.5703125" style="27" customWidth="1"/>
    <col min="1800" max="1800" width="32.42578125" style="27" customWidth="1"/>
    <col min="1801" max="1801" width="14.85546875" style="27" customWidth="1"/>
    <col min="1802" max="1802" width="15.5703125" style="27" customWidth="1"/>
    <col min="1803" max="1803" width="19.42578125" style="27" customWidth="1"/>
    <col min="1804" max="1804" width="18.5703125" style="27" customWidth="1"/>
    <col min="1805" max="1805" width="17.85546875" style="27" customWidth="1"/>
    <col min="1806" max="1828" width="19" style="27" customWidth="1"/>
    <col min="1829" max="2052" width="9.140625" style="27"/>
    <col min="2053" max="2053" width="3.140625" style="27" customWidth="1"/>
    <col min="2054" max="2054" width="4.5703125" style="27" bestFit="1" customWidth="1"/>
    <col min="2055" max="2055" width="28.5703125" style="27" customWidth="1"/>
    <col min="2056" max="2056" width="32.42578125" style="27" customWidth="1"/>
    <col min="2057" max="2057" width="14.85546875" style="27" customWidth="1"/>
    <col min="2058" max="2058" width="15.5703125" style="27" customWidth="1"/>
    <col min="2059" max="2059" width="19.42578125" style="27" customWidth="1"/>
    <col min="2060" max="2060" width="18.5703125" style="27" customWidth="1"/>
    <col min="2061" max="2061" width="17.85546875" style="27" customWidth="1"/>
    <col min="2062" max="2084" width="19" style="27" customWidth="1"/>
    <col min="2085" max="2308" width="9.140625" style="27"/>
    <col min="2309" max="2309" width="3.140625" style="27" customWidth="1"/>
    <col min="2310" max="2310" width="4.5703125" style="27" bestFit="1" customWidth="1"/>
    <col min="2311" max="2311" width="28.5703125" style="27" customWidth="1"/>
    <col min="2312" max="2312" width="32.42578125" style="27" customWidth="1"/>
    <col min="2313" max="2313" width="14.85546875" style="27" customWidth="1"/>
    <col min="2314" max="2314" width="15.5703125" style="27" customWidth="1"/>
    <col min="2315" max="2315" width="19.42578125" style="27" customWidth="1"/>
    <col min="2316" max="2316" width="18.5703125" style="27" customWidth="1"/>
    <col min="2317" max="2317" width="17.85546875" style="27" customWidth="1"/>
    <col min="2318" max="2340" width="19" style="27" customWidth="1"/>
    <col min="2341" max="2564" width="9.140625" style="27"/>
    <col min="2565" max="2565" width="3.140625" style="27" customWidth="1"/>
    <col min="2566" max="2566" width="4.5703125" style="27" bestFit="1" customWidth="1"/>
    <col min="2567" max="2567" width="28.5703125" style="27" customWidth="1"/>
    <col min="2568" max="2568" width="32.42578125" style="27" customWidth="1"/>
    <col min="2569" max="2569" width="14.85546875" style="27" customWidth="1"/>
    <col min="2570" max="2570" width="15.5703125" style="27" customWidth="1"/>
    <col min="2571" max="2571" width="19.42578125" style="27" customWidth="1"/>
    <col min="2572" max="2572" width="18.5703125" style="27" customWidth="1"/>
    <col min="2573" max="2573" width="17.85546875" style="27" customWidth="1"/>
    <col min="2574" max="2596" width="19" style="27" customWidth="1"/>
    <col min="2597" max="2820" width="9.140625" style="27"/>
    <col min="2821" max="2821" width="3.140625" style="27" customWidth="1"/>
    <col min="2822" max="2822" width="4.5703125" style="27" bestFit="1" customWidth="1"/>
    <col min="2823" max="2823" width="28.5703125" style="27" customWidth="1"/>
    <col min="2824" max="2824" width="32.42578125" style="27" customWidth="1"/>
    <col min="2825" max="2825" width="14.85546875" style="27" customWidth="1"/>
    <col min="2826" max="2826" width="15.5703125" style="27" customWidth="1"/>
    <col min="2827" max="2827" width="19.42578125" style="27" customWidth="1"/>
    <col min="2828" max="2828" width="18.5703125" style="27" customWidth="1"/>
    <col min="2829" max="2829" width="17.85546875" style="27" customWidth="1"/>
    <col min="2830" max="2852" width="19" style="27" customWidth="1"/>
    <col min="2853" max="3076" width="9.140625" style="27"/>
    <col min="3077" max="3077" width="3.140625" style="27" customWidth="1"/>
    <col min="3078" max="3078" width="4.5703125" style="27" bestFit="1" customWidth="1"/>
    <col min="3079" max="3079" width="28.5703125" style="27" customWidth="1"/>
    <col min="3080" max="3080" width="32.42578125" style="27" customWidth="1"/>
    <col min="3081" max="3081" width="14.85546875" style="27" customWidth="1"/>
    <col min="3082" max="3082" width="15.5703125" style="27" customWidth="1"/>
    <col min="3083" max="3083" width="19.42578125" style="27" customWidth="1"/>
    <col min="3084" max="3084" width="18.5703125" style="27" customWidth="1"/>
    <col min="3085" max="3085" width="17.85546875" style="27" customWidth="1"/>
    <col min="3086" max="3108" width="19" style="27" customWidth="1"/>
    <col min="3109" max="3332" width="9.140625" style="27"/>
    <col min="3333" max="3333" width="3.140625" style="27" customWidth="1"/>
    <col min="3334" max="3334" width="4.5703125" style="27" bestFit="1" customWidth="1"/>
    <col min="3335" max="3335" width="28.5703125" style="27" customWidth="1"/>
    <col min="3336" max="3336" width="32.42578125" style="27" customWidth="1"/>
    <col min="3337" max="3337" width="14.85546875" style="27" customWidth="1"/>
    <col min="3338" max="3338" width="15.5703125" style="27" customWidth="1"/>
    <col min="3339" max="3339" width="19.42578125" style="27" customWidth="1"/>
    <col min="3340" max="3340" width="18.5703125" style="27" customWidth="1"/>
    <col min="3341" max="3341" width="17.85546875" style="27" customWidth="1"/>
    <col min="3342" max="3364" width="19" style="27" customWidth="1"/>
    <col min="3365" max="3588" width="9.140625" style="27"/>
    <col min="3589" max="3589" width="3.140625" style="27" customWidth="1"/>
    <col min="3590" max="3590" width="4.5703125" style="27" bestFit="1" customWidth="1"/>
    <col min="3591" max="3591" width="28.5703125" style="27" customWidth="1"/>
    <col min="3592" max="3592" width="32.42578125" style="27" customWidth="1"/>
    <col min="3593" max="3593" width="14.85546875" style="27" customWidth="1"/>
    <col min="3594" max="3594" width="15.5703125" style="27" customWidth="1"/>
    <col min="3595" max="3595" width="19.42578125" style="27" customWidth="1"/>
    <col min="3596" max="3596" width="18.5703125" style="27" customWidth="1"/>
    <col min="3597" max="3597" width="17.85546875" style="27" customWidth="1"/>
    <col min="3598" max="3620" width="19" style="27" customWidth="1"/>
    <col min="3621" max="3844" width="9.140625" style="27"/>
    <col min="3845" max="3845" width="3.140625" style="27" customWidth="1"/>
    <col min="3846" max="3846" width="4.5703125" style="27" bestFit="1" customWidth="1"/>
    <col min="3847" max="3847" width="28.5703125" style="27" customWidth="1"/>
    <col min="3848" max="3848" width="32.42578125" style="27" customWidth="1"/>
    <col min="3849" max="3849" width="14.85546875" style="27" customWidth="1"/>
    <col min="3850" max="3850" width="15.5703125" style="27" customWidth="1"/>
    <col min="3851" max="3851" width="19.42578125" style="27" customWidth="1"/>
    <col min="3852" max="3852" width="18.5703125" style="27" customWidth="1"/>
    <col min="3853" max="3853" width="17.85546875" style="27" customWidth="1"/>
    <col min="3854" max="3876" width="19" style="27" customWidth="1"/>
    <col min="3877" max="4100" width="9.140625" style="27"/>
    <col min="4101" max="4101" width="3.140625" style="27" customWidth="1"/>
    <col min="4102" max="4102" width="4.5703125" style="27" bestFit="1" customWidth="1"/>
    <col min="4103" max="4103" width="28.5703125" style="27" customWidth="1"/>
    <col min="4104" max="4104" width="32.42578125" style="27" customWidth="1"/>
    <col min="4105" max="4105" width="14.85546875" style="27" customWidth="1"/>
    <col min="4106" max="4106" width="15.5703125" style="27" customWidth="1"/>
    <col min="4107" max="4107" width="19.42578125" style="27" customWidth="1"/>
    <col min="4108" max="4108" width="18.5703125" style="27" customWidth="1"/>
    <col min="4109" max="4109" width="17.85546875" style="27" customWidth="1"/>
    <col min="4110" max="4132" width="19" style="27" customWidth="1"/>
    <col min="4133" max="4356" width="9.140625" style="27"/>
    <col min="4357" max="4357" width="3.140625" style="27" customWidth="1"/>
    <col min="4358" max="4358" width="4.5703125" style="27" bestFit="1" customWidth="1"/>
    <col min="4359" max="4359" width="28.5703125" style="27" customWidth="1"/>
    <col min="4360" max="4360" width="32.42578125" style="27" customWidth="1"/>
    <col min="4361" max="4361" width="14.85546875" style="27" customWidth="1"/>
    <col min="4362" max="4362" width="15.5703125" style="27" customWidth="1"/>
    <col min="4363" max="4363" width="19.42578125" style="27" customWidth="1"/>
    <col min="4364" max="4364" width="18.5703125" style="27" customWidth="1"/>
    <col min="4365" max="4365" width="17.85546875" style="27" customWidth="1"/>
    <col min="4366" max="4388" width="19" style="27" customWidth="1"/>
    <col min="4389" max="4612" width="9.140625" style="27"/>
    <col min="4613" max="4613" width="3.140625" style="27" customWidth="1"/>
    <col min="4614" max="4614" width="4.5703125" style="27" bestFit="1" customWidth="1"/>
    <col min="4615" max="4615" width="28.5703125" style="27" customWidth="1"/>
    <col min="4616" max="4616" width="32.42578125" style="27" customWidth="1"/>
    <col min="4617" max="4617" width="14.85546875" style="27" customWidth="1"/>
    <col min="4618" max="4618" width="15.5703125" style="27" customWidth="1"/>
    <col min="4619" max="4619" width="19.42578125" style="27" customWidth="1"/>
    <col min="4620" max="4620" width="18.5703125" style="27" customWidth="1"/>
    <col min="4621" max="4621" width="17.85546875" style="27" customWidth="1"/>
    <col min="4622" max="4644" width="19" style="27" customWidth="1"/>
    <col min="4645" max="4868" width="9.140625" style="27"/>
    <col min="4869" max="4869" width="3.140625" style="27" customWidth="1"/>
    <col min="4870" max="4870" width="4.5703125" style="27" bestFit="1" customWidth="1"/>
    <col min="4871" max="4871" width="28.5703125" style="27" customWidth="1"/>
    <col min="4872" max="4872" width="32.42578125" style="27" customWidth="1"/>
    <col min="4873" max="4873" width="14.85546875" style="27" customWidth="1"/>
    <col min="4874" max="4874" width="15.5703125" style="27" customWidth="1"/>
    <col min="4875" max="4875" width="19.42578125" style="27" customWidth="1"/>
    <col min="4876" max="4876" width="18.5703125" style="27" customWidth="1"/>
    <col min="4877" max="4877" width="17.85546875" style="27" customWidth="1"/>
    <col min="4878" max="4900" width="19" style="27" customWidth="1"/>
    <col min="4901" max="5124" width="9.140625" style="27"/>
    <col min="5125" max="5125" width="3.140625" style="27" customWidth="1"/>
    <col min="5126" max="5126" width="4.5703125" style="27" bestFit="1" customWidth="1"/>
    <col min="5127" max="5127" width="28.5703125" style="27" customWidth="1"/>
    <col min="5128" max="5128" width="32.42578125" style="27" customWidth="1"/>
    <col min="5129" max="5129" width="14.85546875" style="27" customWidth="1"/>
    <col min="5130" max="5130" width="15.5703125" style="27" customWidth="1"/>
    <col min="5131" max="5131" width="19.42578125" style="27" customWidth="1"/>
    <col min="5132" max="5132" width="18.5703125" style="27" customWidth="1"/>
    <col min="5133" max="5133" width="17.85546875" style="27" customWidth="1"/>
    <col min="5134" max="5156" width="19" style="27" customWidth="1"/>
    <col min="5157" max="5380" width="9.140625" style="27"/>
    <col min="5381" max="5381" width="3.140625" style="27" customWidth="1"/>
    <col min="5382" max="5382" width="4.5703125" style="27" bestFit="1" customWidth="1"/>
    <col min="5383" max="5383" width="28.5703125" style="27" customWidth="1"/>
    <col min="5384" max="5384" width="32.42578125" style="27" customWidth="1"/>
    <col min="5385" max="5385" width="14.85546875" style="27" customWidth="1"/>
    <col min="5386" max="5386" width="15.5703125" style="27" customWidth="1"/>
    <col min="5387" max="5387" width="19.42578125" style="27" customWidth="1"/>
    <col min="5388" max="5388" width="18.5703125" style="27" customWidth="1"/>
    <col min="5389" max="5389" width="17.85546875" style="27" customWidth="1"/>
    <col min="5390" max="5412" width="19" style="27" customWidth="1"/>
    <col min="5413" max="5636" width="9.140625" style="27"/>
    <col min="5637" max="5637" width="3.140625" style="27" customWidth="1"/>
    <col min="5638" max="5638" width="4.5703125" style="27" bestFit="1" customWidth="1"/>
    <col min="5639" max="5639" width="28.5703125" style="27" customWidth="1"/>
    <col min="5640" max="5640" width="32.42578125" style="27" customWidth="1"/>
    <col min="5641" max="5641" width="14.85546875" style="27" customWidth="1"/>
    <col min="5642" max="5642" width="15.5703125" style="27" customWidth="1"/>
    <col min="5643" max="5643" width="19.42578125" style="27" customWidth="1"/>
    <col min="5644" max="5644" width="18.5703125" style="27" customWidth="1"/>
    <col min="5645" max="5645" width="17.85546875" style="27" customWidth="1"/>
    <col min="5646" max="5668" width="19" style="27" customWidth="1"/>
    <col min="5669" max="5892" width="9.140625" style="27"/>
    <col min="5893" max="5893" width="3.140625" style="27" customWidth="1"/>
    <col min="5894" max="5894" width="4.5703125" style="27" bestFit="1" customWidth="1"/>
    <col min="5895" max="5895" width="28.5703125" style="27" customWidth="1"/>
    <col min="5896" max="5896" width="32.42578125" style="27" customWidth="1"/>
    <col min="5897" max="5897" width="14.85546875" style="27" customWidth="1"/>
    <col min="5898" max="5898" width="15.5703125" style="27" customWidth="1"/>
    <col min="5899" max="5899" width="19.42578125" style="27" customWidth="1"/>
    <col min="5900" max="5900" width="18.5703125" style="27" customWidth="1"/>
    <col min="5901" max="5901" width="17.85546875" style="27" customWidth="1"/>
    <col min="5902" max="5924" width="19" style="27" customWidth="1"/>
    <col min="5925" max="6148" width="9.140625" style="27"/>
    <col min="6149" max="6149" width="3.140625" style="27" customWidth="1"/>
    <col min="6150" max="6150" width="4.5703125" style="27" bestFit="1" customWidth="1"/>
    <col min="6151" max="6151" width="28.5703125" style="27" customWidth="1"/>
    <col min="6152" max="6152" width="32.42578125" style="27" customWidth="1"/>
    <col min="6153" max="6153" width="14.85546875" style="27" customWidth="1"/>
    <col min="6154" max="6154" width="15.5703125" style="27" customWidth="1"/>
    <col min="6155" max="6155" width="19.42578125" style="27" customWidth="1"/>
    <col min="6156" max="6156" width="18.5703125" style="27" customWidth="1"/>
    <col min="6157" max="6157" width="17.85546875" style="27" customWidth="1"/>
    <col min="6158" max="6180" width="19" style="27" customWidth="1"/>
    <col min="6181" max="6404" width="9.140625" style="27"/>
    <col min="6405" max="6405" width="3.140625" style="27" customWidth="1"/>
    <col min="6406" max="6406" width="4.5703125" style="27" bestFit="1" customWidth="1"/>
    <col min="6407" max="6407" width="28.5703125" style="27" customWidth="1"/>
    <col min="6408" max="6408" width="32.42578125" style="27" customWidth="1"/>
    <col min="6409" max="6409" width="14.85546875" style="27" customWidth="1"/>
    <col min="6410" max="6410" width="15.5703125" style="27" customWidth="1"/>
    <col min="6411" max="6411" width="19.42578125" style="27" customWidth="1"/>
    <col min="6412" max="6412" width="18.5703125" style="27" customWidth="1"/>
    <col min="6413" max="6413" width="17.85546875" style="27" customWidth="1"/>
    <col min="6414" max="6436" width="19" style="27" customWidth="1"/>
    <col min="6437" max="6660" width="9.140625" style="27"/>
    <col min="6661" max="6661" width="3.140625" style="27" customWidth="1"/>
    <col min="6662" max="6662" width="4.5703125" style="27" bestFit="1" customWidth="1"/>
    <col min="6663" max="6663" width="28.5703125" style="27" customWidth="1"/>
    <col min="6664" max="6664" width="32.42578125" style="27" customWidth="1"/>
    <col min="6665" max="6665" width="14.85546875" style="27" customWidth="1"/>
    <col min="6666" max="6666" width="15.5703125" style="27" customWidth="1"/>
    <col min="6667" max="6667" width="19.42578125" style="27" customWidth="1"/>
    <col min="6668" max="6668" width="18.5703125" style="27" customWidth="1"/>
    <col min="6669" max="6669" width="17.85546875" style="27" customWidth="1"/>
    <col min="6670" max="6692" width="19" style="27" customWidth="1"/>
    <col min="6693" max="6916" width="9.140625" style="27"/>
    <col min="6917" max="6917" width="3.140625" style="27" customWidth="1"/>
    <col min="6918" max="6918" width="4.5703125" style="27" bestFit="1" customWidth="1"/>
    <col min="6919" max="6919" width="28.5703125" style="27" customWidth="1"/>
    <col min="6920" max="6920" width="32.42578125" style="27" customWidth="1"/>
    <col min="6921" max="6921" width="14.85546875" style="27" customWidth="1"/>
    <col min="6922" max="6922" width="15.5703125" style="27" customWidth="1"/>
    <col min="6923" max="6923" width="19.42578125" style="27" customWidth="1"/>
    <col min="6924" max="6924" width="18.5703125" style="27" customWidth="1"/>
    <col min="6925" max="6925" width="17.85546875" style="27" customWidth="1"/>
    <col min="6926" max="6948" width="19" style="27" customWidth="1"/>
    <col min="6949" max="7172" width="9.140625" style="27"/>
    <col min="7173" max="7173" width="3.140625" style="27" customWidth="1"/>
    <col min="7174" max="7174" width="4.5703125" style="27" bestFit="1" customWidth="1"/>
    <col min="7175" max="7175" width="28.5703125" style="27" customWidth="1"/>
    <col min="7176" max="7176" width="32.42578125" style="27" customWidth="1"/>
    <col min="7177" max="7177" width="14.85546875" style="27" customWidth="1"/>
    <col min="7178" max="7178" width="15.5703125" style="27" customWidth="1"/>
    <col min="7179" max="7179" width="19.42578125" style="27" customWidth="1"/>
    <col min="7180" max="7180" width="18.5703125" style="27" customWidth="1"/>
    <col min="7181" max="7181" width="17.85546875" style="27" customWidth="1"/>
    <col min="7182" max="7204" width="19" style="27" customWidth="1"/>
    <col min="7205" max="7428" width="9.140625" style="27"/>
    <col min="7429" max="7429" width="3.140625" style="27" customWidth="1"/>
    <col min="7430" max="7430" width="4.5703125" style="27" bestFit="1" customWidth="1"/>
    <col min="7431" max="7431" width="28.5703125" style="27" customWidth="1"/>
    <col min="7432" max="7432" width="32.42578125" style="27" customWidth="1"/>
    <col min="7433" max="7433" width="14.85546875" style="27" customWidth="1"/>
    <col min="7434" max="7434" width="15.5703125" style="27" customWidth="1"/>
    <col min="7435" max="7435" width="19.42578125" style="27" customWidth="1"/>
    <col min="7436" max="7436" width="18.5703125" style="27" customWidth="1"/>
    <col min="7437" max="7437" width="17.85546875" style="27" customWidth="1"/>
    <col min="7438" max="7460" width="19" style="27" customWidth="1"/>
    <col min="7461" max="7684" width="9.140625" style="27"/>
    <col min="7685" max="7685" width="3.140625" style="27" customWidth="1"/>
    <col min="7686" max="7686" width="4.5703125" style="27" bestFit="1" customWidth="1"/>
    <col min="7687" max="7687" width="28.5703125" style="27" customWidth="1"/>
    <col min="7688" max="7688" width="32.42578125" style="27" customWidth="1"/>
    <col min="7689" max="7689" width="14.85546875" style="27" customWidth="1"/>
    <col min="7690" max="7690" width="15.5703125" style="27" customWidth="1"/>
    <col min="7691" max="7691" width="19.42578125" style="27" customWidth="1"/>
    <col min="7692" max="7692" width="18.5703125" style="27" customWidth="1"/>
    <col min="7693" max="7693" width="17.85546875" style="27" customWidth="1"/>
    <col min="7694" max="7716" width="19" style="27" customWidth="1"/>
    <col min="7717" max="7940" width="9.140625" style="27"/>
    <col min="7941" max="7941" width="3.140625" style="27" customWidth="1"/>
    <col min="7942" max="7942" width="4.5703125" style="27" bestFit="1" customWidth="1"/>
    <col min="7943" max="7943" width="28.5703125" style="27" customWidth="1"/>
    <col min="7944" max="7944" width="32.42578125" style="27" customWidth="1"/>
    <col min="7945" max="7945" width="14.85546875" style="27" customWidth="1"/>
    <col min="7946" max="7946" width="15.5703125" style="27" customWidth="1"/>
    <col min="7947" max="7947" width="19.42578125" style="27" customWidth="1"/>
    <col min="7948" max="7948" width="18.5703125" style="27" customWidth="1"/>
    <col min="7949" max="7949" width="17.85546875" style="27" customWidth="1"/>
    <col min="7950" max="7972" width="19" style="27" customWidth="1"/>
    <col min="7973" max="8196" width="9.140625" style="27"/>
    <col min="8197" max="8197" width="3.140625" style="27" customWidth="1"/>
    <col min="8198" max="8198" width="4.5703125" style="27" bestFit="1" customWidth="1"/>
    <col min="8199" max="8199" width="28.5703125" style="27" customWidth="1"/>
    <col min="8200" max="8200" width="32.42578125" style="27" customWidth="1"/>
    <col min="8201" max="8201" width="14.85546875" style="27" customWidth="1"/>
    <col min="8202" max="8202" width="15.5703125" style="27" customWidth="1"/>
    <col min="8203" max="8203" width="19.42578125" style="27" customWidth="1"/>
    <col min="8204" max="8204" width="18.5703125" style="27" customWidth="1"/>
    <col min="8205" max="8205" width="17.85546875" style="27" customWidth="1"/>
    <col min="8206" max="8228" width="19" style="27" customWidth="1"/>
    <col min="8229" max="8452" width="9.140625" style="27"/>
    <col min="8453" max="8453" width="3.140625" style="27" customWidth="1"/>
    <col min="8454" max="8454" width="4.5703125" style="27" bestFit="1" customWidth="1"/>
    <col min="8455" max="8455" width="28.5703125" style="27" customWidth="1"/>
    <col min="8456" max="8456" width="32.42578125" style="27" customWidth="1"/>
    <col min="8457" max="8457" width="14.85546875" style="27" customWidth="1"/>
    <col min="8458" max="8458" width="15.5703125" style="27" customWidth="1"/>
    <col min="8459" max="8459" width="19.42578125" style="27" customWidth="1"/>
    <col min="8460" max="8460" width="18.5703125" style="27" customWidth="1"/>
    <col min="8461" max="8461" width="17.85546875" style="27" customWidth="1"/>
    <col min="8462" max="8484" width="19" style="27" customWidth="1"/>
    <col min="8485" max="8708" width="9.140625" style="27"/>
    <col min="8709" max="8709" width="3.140625" style="27" customWidth="1"/>
    <col min="8710" max="8710" width="4.5703125" style="27" bestFit="1" customWidth="1"/>
    <col min="8711" max="8711" width="28.5703125" style="27" customWidth="1"/>
    <col min="8712" max="8712" width="32.42578125" style="27" customWidth="1"/>
    <col min="8713" max="8713" width="14.85546875" style="27" customWidth="1"/>
    <col min="8714" max="8714" width="15.5703125" style="27" customWidth="1"/>
    <col min="8715" max="8715" width="19.42578125" style="27" customWidth="1"/>
    <col min="8716" max="8716" width="18.5703125" style="27" customWidth="1"/>
    <col min="8717" max="8717" width="17.85546875" style="27" customWidth="1"/>
    <col min="8718" max="8740" width="19" style="27" customWidth="1"/>
    <col min="8741" max="8964" width="9.140625" style="27"/>
    <col min="8965" max="8965" width="3.140625" style="27" customWidth="1"/>
    <col min="8966" max="8966" width="4.5703125" style="27" bestFit="1" customWidth="1"/>
    <col min="8967" max="8967" width="28.5703125" style="27" customWidth="1"/>
    <col min="8968" max="8968" width="32.42578125" style="27" customWidth="1"/>
    <col min="8969" max="8969" width="14.85546875" style="27" customWidth="1"/>
    <col min="8970" max="8970" width="15.5703125" style="27" customWidth="1"/>
    <col min="8971" max="8971" width="19.42578125" style="27" customWidth="1"/>
    <col min="8972" max="8972" width="18.5703125" style="27" customWidth="1"/>
    <col min="8973" max="8973" width="17.85546875" style="27" customWidth="1"/>
    <col min="8974" max="8996" width="19" style="27" customWidth="1"/>
    <col min="8997" max="9220" width="9.140625" style="27"/>
    <col min="9221" max="9221" width="3.140625" style="27" customWidth="1"/>
    <col min="9222" max="9222" width="4.5703125" style="27" bestFit="1" customWidth="1"/>
    <col min="9223" max="9223" width="28.5703125" style="27" customWidth="1"/>
    <col min="9224" max="9224" width="32.42578125" style="27" customWidth="1"/>
    <col min="9225" max="9225" width="14.85546875" style="27" customWidth="1"/>
    <col min="9226" max="9226" width="15.5703125" style="27" customWidth="1"/>
    <col min="9227" max="9227" width="19.42578125" style="27" customWidth="1"/>
    <col min="9228" max="9228" width="18.5703125" style="27" customWidth="1"/>
    <col min="9229" max="9229" width="17.85546875" style="27" customWidth="1"/>
    <col min="9230" max="9252" width="19" style="27" customWidth="1"/>
    <col min="9253" max="9476" width="9.140625" style="27"/>
    <col min="9477" max="9477" width="3.140625" style="27" customWidth="1"/>
    <col min="9478" max="9478" width="4.5703125" style="27" bestFit="1" customWidth="1"/>
    <col min="9479" max="9479" width="28.5703125" style="27" customWidth="1"/>
    <col min="9480" max="9480" width="32.42578125" style="27" customWidth="1"/>
    <col min="9481" max="9481" width="14.85546875" style="27" customWidth="1"/>
    <col min="9482" max="9482" width="15.5703125" style="27" customWidth="1"/>
    <col min="9483" max="9483" width="19.42578125" style="27" customWidth="1"/>
    <col min="9484" max="9484" width="18.5703125" style="27" customWidth="1"/>
    <col min="9485" max="9485" width="17.85546875" style="27" customWidth="1"/>
    <col min="9486" max="9508" width="19" style="27" customWidth="1"/>
    <col min="9509" max="9732" width="9.140625" style="27"/>
    <col min="9733" max="9733" width="3.140625" style="27" customWidth="1"/>
    <col min="9734" max="9734" width="4.5703125" style="27" bestFit="1" customWidth="1"/>
    <col min="9735" max="9735" width="28.5703125" style="27" customWidth="1"/>
    <col min="9736" max="9736" width="32.42578125" style="27" customWidth="1"/>
    <col min="9737" max="9737" width="14.85546875" style="27" customWidth="1"/>
    <col min="9738" max="9738" width="15.5703125" style="27" customWidth="1"/>
    <col min="9739" max="9739" width="19.42578125" style="27" customWidth="1"/>
    <col min="9740" max="9740" width="18.5703125" style="27" customWidth="1"/>
    <col min="9741" max="9741" width="17.85546875" style="27" customWidth="1"/>
    <col min="9742" max="9764" width="19" style="27" customWidth="1"/>
    <col min="9765" max="9988" width="9.140625" style="27"/>
    <col min="9989" max="9989" width="3.140625" style="27" customWidth="1"/>
    <col min="9990" max="9990" width="4.5703125" style="27" bestFit="1" customWidth="1"/>
    <col min="9991" max="9991" width="28.5703125" style="27" customWidth="1"/>
    <col min="9992" max="9992" width="32.42578125" style="27" customWidth="1"/>
    <col min="9993" max="9993" width="14.85546875" style="27" customWidth="1"/>
    <col min="9994" max="9994" width="15.5703125" style="27" customWidth="1"/>
    <col min="9995" max="9995" width="19.42578125" style="27" customWidth="1"/>
    <col min="9996" max="9996" width="18.5703125" style="27" customWidth="1"/>
    <col min="9997" max="9997" width="17.85546875" style="27" customWidth="1"/>
    <col min="9998" max="10020" width="19" style="27" customWidth="1"/>
    <col min="10021" max="10244" width="9.140625" style="27"/>
    <col min="10245" max="10245" width="3.140625" style="27" customWidth="1"/>
    <col min="10246" max="10246" width="4.5703125" style="27" bestFit="1" customWidth="1"/>
    <col min="10247" max="10247" width="28.5703125" style="27" customWidth="1"/>
    <col min="10248" max="10248" width="32.42578125" style="27" customWidth="1"/>
    <col min="10249" max="10249" width="14.85546875" style="27" customWidth="1"/>
    <col min="10250" max="10250" width="15.5703125" style="27" customWidth="1"/>
    <col min="10251" max="10251" width="19.42578125" style="27" customWidth="1"/>
    <col min="10252" max="10252" width="18.5703125" style="27" customWidth="1"/>
    <col min="10253" max="10253" width="17.85546875" style="27" customWidth="1"/>
    <col min="10254" max="10276" width="19" style="27" customWidth="1"/>
    <col min="10277" max="10500" width="9.140625" style="27"/>
    <col min="10501" max="10501" width="3.140625" style="27" customWidth="1"/>
    <col min="10502" max="10502" width="4.5703125" style="27" bestFit="1" customWidth="1"/>
    <col min="10503" max="10503" width="28.5703125" style="27" customWidth="1"/>
    <col min="10504" max="10504" width="32.42578125" style="27" customWidth="1"/>
    <col min="10505" max="10505" width="14.85546875" style="27" customWidth="1"/>
    <col min="10506" max="10506" width="15.5703125" style="27" customWidth="1"/>
    <col min="10507" max="10507" width="19.42578125" style="27" customWidth="1"/>
    <col min="10508" max="10508" width="18.5703125" style="27" customWidth="1"/>
    <col min="10509" max="10509" width="17.85546875" style="27" customWidth="1"/>
    <col min="10510" max="10532" width="19" style="27" customWidth="1"/>
    <col min="10533" max="10756" width="9.140625" style="27"/>
    <col min="10757" max="10757" width="3.140625" style="27" customWidth="1"/>
    <col min="10758" max="10758" width="4.5703125" style="27" bestFit="1" customWidth="1"/>
    <col min="10759" max="10759" width="28.5703125" style="27" customWidth="1"/>
    <col min="10760" max="10760" width="32.42578125" style="27" customWidth="1"/>
    <col min="10761" max="10761" width="14.85546875" style="27" customWidth="1"/>
    <col min="10762" max="10762" width="15.5703125" style="27" customWidth="1"/>
    <col min="10763" max="10763" width="19.42578125" style="27" customWidth="1"/>
    <col min="10764" max="10764" width="18.5703125" style="27" customWidth="1"/>
    <col min="10765" max="10765" width="17.85546875" style="27" customWidth="1"/>
    <col min="10766" max="10788" width="19" style="27" customWidth="1"/>
    <col min="10789" max="11012" width="9.140625" style="27"/>
    <col min="11013" max="11013" width="3.140625" style="27" customWidth="1"/>
    <col min="11014" max="11014" width="4.5703125" style="27" bestFit="1" customWidth="1"/>
    <col min="11015" max="11015" width="28.5703125" style="27" customWidth="1"/>
    <col min="11016" max="11016" width="32.42578125" style="27" customWidth="1"/>
    <col min="11017" max="11017" width="14.85546875" style="27" customWidth="1"/>
    <col min="11018" max="11018" width="15.5703125" style="27" customWidth="1"/>
    <col min="11019" max="11019" width="19.42578125" style="27" customWidth="1"/>
    <col min="11020" max="11020" width="18.5703125" style="27" customWidth="1"/>
    <col min="11021" max="11021" width="17.85546875" style="27" customWidth="1"/>
    <col min="11022" max="11044" width="19" style="27" customWidth="1"/>
    <col min="11045" max="11268" width="9.140625" style="27"/>
    <col min="11269" max="11269" width="3.140625" style="27" customWidth="1"/>
    <col min="11270" max="11270" width="4.5703125" style="27" bestFit="1" customWidth="1"/>
    <col min="11271" max="11271" width="28.5703125" style="27" customWidth="1"/>
    <col min="11272" max="11272" width="32.42578125" style="27" customWidth="1"/>
    <col min="11273" max="11273" width="14.85546875" style="27" customWidth="1"/>
    <col min="11274" max="11274" width="15.5703125" style="27" customWidth="1"/>
    <col min="11275" max="11275" width="19.42578125" style="27" customWidth="1"/>
    <col min="11276" max="11276" width="18.5703125" style="27" customWidth="1"/>
    <col min="11277" max="11277" width="17.85546875" style="27" customWidth="1"/>
    <col min="11278" max="11300" width="19" style="27" customWidth="1"/>
    <col min="11301" max="11524" width="9.140625" style="27"/>
    <col min="11525" max="11525" width="3.140625" style="27" customWidth="1"/>
    <col min="11526" max="11526" width="4.5703125" style="27" bestFit="1" customWidth="1"/>
    <col min="11527" max="11527" width="28.5703125" style="27" customWidth="1"/>
    <col min="11528" max="11528" width="32.42578125" style="27" customWidth="1"/>
    <col min="11529" max="11529" width="14.85546875" style="27" customWidth="1"/>
    <col min="11530" max="11530" width="15.5703125" style="27" customWidth="1"/>
    <col min="11531" max="11531" width="19.42578125" style="27" customWidth="1"/>
    <col min="11532" max="11532" width="18.5703125" style="27" customWidth="1"/>
    <col min="11533" max="11533" width="17.85546875" style="27" customWidth="1"/>
    <col min="11534" max="11556" width="19" style="27" customWidth="1"/>
    <col min="11557" max="11780" width="9.140625" style="27"/>
    <col min="11781" max="11781" width="3.140625" style="27" customWidth="1"/>
    <col min="11782" max="11782" width="4.5703125" style="27" bestFit="1" customWidth="1"/>
    <col min="11783" max="11783" width="28.5703125" style="27" customWidth="1"/>
    <col min="11784" max="11784" width="32.42578125" style="27" customWidth="1"/>
    <col min="11785" max="11785" width="14.85546875" style="27" customWidth="1"/>
    <col min="11786" max="11786" width="15.5703125" style="27" customWidth="1"/>
    <col min="11787" max="11787" width="19.42578125" style="27" customWidth="1"/>
    <col min="11788" max="11788" width="18.5703125" style="27" customWidth="1"/>
    <col min="11789" max="11789" width="17.85546875" style="27" customWidth="1"/>
    <col min="11790" max="11812" width="19" style="27" customWidth="1"/>
    <col min="11813" max="12036" width="9.140625" style="27"/>
    <col min="12037" max="12037" width="3.140625" style="27" customWidth="1"/>
    <col min="12038" max="12038" width="4.5703125" style="27" bestFit="1" customWidth="1"/>
    <col min="12039" max="12039" width="28.5703125" style="27" customWidth="1"/>
    <col min="12040" max="12040" width="32.42578125" style="27" customWidth="1"/>
    <col min="12041" max="12041" width="14.85546875" style="27" customWidth="1"/>
    <col min="12042" max="12042" width="15.5703125" style="27" customWidth="1"/>
    <col min="12043" max="12043" width="19.42578125" style="27" customWidth="1"/>
    <col min="12044" max="12044" width="18.5703125" style="27" customWidth="1"/>
    <col min="12045" max="12045" width="17.85546875" style="27" customWidth="1"/>
    <col min="12046" max="12068" width="19" style="27" customWidth="1"/>
    <col min="12069" max="12292" width="9.140625" style="27"/>
    <col min="12293" max="12293" width="3.140625" style="27" customWidth="1"/>
    <col min="12294" max="12294" width="4.5703125" style="27" bestFit="1" customWidth="1"/>
    <col min="12295" max="12295" width="28.5703125" style="27" customWidth="1"/>
    <col min="12296" max="12296" width="32.42578125" style="27" customWidth="1"/>
    <col min="12297" max="12297" width="14.85546875" style="27" customWidth="1"/>
    <col min="12298" max="12298" width="15.5703125" style="27" customWidth="1"/>
    <col min="12299" max="12299" width="19.42578125" style="27" customWidth="1"/>
    <col min="12300" max="12300" width="18.5703125" style="27" customWidth="1"/>
    <col min="12301" max="12301" width="17.85546875" style="27" customWidth="1"/>
    <col min="12302" max="12324" width="19" style="27" customWidth="1"/>
    <col min="12325" max="12548" width="9.140625" style="27"/>
    <col min="12549" max="12549" width="3.140625" style="27" customWidth="1"/>
    <col min="12550" max="12550" width="4.5703125" style="27" bestFit="1" customWidth="1"/>
    <col min="12551" max="12551" width="28.5703125" style="27" customWidth="1"/>
    <col min="12552" max="12552" width="32.42578125" style="27" customWidth="1"/>
    <col min="12553" max="12553" width="14.85546875" style="27" customWidth="1"/>
    <col min="12554" max="12554" width="15.5703125" style="27" customWidth="1"/>
    <col min="12555" max="12555" width="19.42578125" style="27" customWidth="1"/>
    <col min="12556" max="12556" width="18.5703125" style="27" customWidth="1"/>
    <col min="12557" max="12557" width="17.85546875" style="27" customWidth="1"/>
    <col min="12558" max="12580" width="19" style="27" customWidth="1"/>
    <col min="12581" max="12804" width="9.140625" style="27"/>
    <col min="12805" max="12805" width="3.140625" style="27" customWidth="1"/>
    <col min="12806" max="12806" width="4.5703125" style="27" bestFit="1" customWidth="1"/>
    <col min="12807" max="12807" width="28.5703125" style="27" customWidth="1"/>
    <col min="12808" max="12808" width="32.42578125" style="27" customWidth="1"/>
    <col min="12809" max="12809" width="14.85546875" style="27" customWidth="1"/>
    <col min="12810" max="12810" width="15.5703125" style="27" customWidth="1"/>
    <col min="12811" max="12811" width="19.42578125" style="27" customWidth="1"/>
    <col min="12812" max="12812" width="18.5703125" style="27" customWidth="1"/>
    <col min="12813" max="12813" width="17.85546875" style="27" customWidth="1"/>
    <col min="12814" max="12836" width="19" style="27" customWidth="1"/>
    <col min="12837" max="13060" width="9.140625" style="27"/>
    <col min="13061" max="13061" width="3.140625" style="27" customWidth="1"/>
    <col min="13062" max="13062" width="4.5703125" style="27" bestFit="1" customWidth="1"/>
    <col min="13063" max="13063" width="28.5703125" style="27" customWidth="1"/>
    <col min="13064" max="13064" width="32.42578125" style="27" customWidth="1"/>
    <col min="13065" max="13065" width="14.85546875" style="27" customWidth="1"/>
    <col min="13066" max="13066" width="15.5703125" style="27" customWidth="1"/>
    <col min="13067" max="13067" width="19.42578125" style="27" customWidth="1"/>
    <col min="13068" max="13068" width="18.5703125" style="27" customWidth="1"/>
    <col min="13069" max="13069" width="17.85546875" style="27" customWidth="1"/>
    <col min="13070" max="13092" width="19" style="27" customWidth="1"/>
    <col min="13093" max="13316" width="9.140625" style="27"/>
    <col min="13317" max="13317" width="3.140625" style="27" customWidth="1"/>
    <col min="13318" max="13318" width="4.5703125" style="27" bestFit="1" customWidth="1"/>
    <col min="13319" max="13319" width="28.5703125" style="27" customWidth="1"/>
    <col min="13320" max="13320" width="32.42578125" style="27" customWidth="1"/>
    <col min="13321" max="13321" width="14.85546875" style="27" customWidth="1"/>
    <col min="13322" max="13322" width="15.5703125" style="27" customWidth="1"/>
    <col min="13323" max="13323" width="19.42578125" style="27" customWidth="1"/>
    <col min="13324" max="13324" width="18.5703125" style="27" customWidth="1"/>
    <col min="13325" max="13325" width="17.85546875" style="27" customWidth="1"/>
    <col min="13326" max="13348" width="19" style="27" customWidth="1"/>
    <col min="13349" max="13572" width="9.140625" style="27"/>
    <col min="13573" max="13573" width="3.140625" style="27" customWidth="1"/>
    <col min="13574" max="13574" width="4.5703125" style="27" bestFit="1" customWidth="1"/>
    <col min="13575" max="13575" width="28.5703125" style="27" customWidth="1"/>
    <col min="13576" max="13576" width="32.42578125" style="27" customWidth="1"/>
    <col min="13577" max="13577" width="14.85546875" style="27" customWidth="1"/>
    <col min="13578" max="13578" width="15.5703125" style="27" customWidth="1"/>
    <col min="13579" max="13579" width="19.42578125" style="27" customWidth="1"/>
    <col min="13580" max="13580" width="18.5703125" style="27" customWidth="1"/>
    <col min="13581" max="13581" width="17.85546875" style="27" customWidth="1"/>
    <col min="13582" max="13604" width="19" style="27" customWidth="1"/>
    <col min="13605" max="13828" width="9.140625" style="27"/>
    <col min="13829" max="13829" width="3.140625" style="27" customWidth="1"/>
    <col min="13830" max="13830" width="4.5703125" style="27" bestFit="1" customWidth="1"/>
    <col min="13831" max="13831" width="28.5703125" style="27" customWidth="1"/>
    <col min="13832" max="13832" width="32.42578125" style="27" customWidth="1"/>
    <col min="13833" max="13833" width="14.85546875" style="27" customWidth="1"/>
    <col min="13834" max="13834" width="15.5703125" style="27" customWidth="1"/>
    <col min="13835" max="13835" width="19.42578125" style="27" customWidth="1"/>
    <col min="13836" max="13836" width="18.5703125" style="27" customWidth="1"/>
    <col min="13837" max="13837" width="17.85546875" style="27" customWidth="1"/>
    <col min="13838" max="13860" width="19" style="27" customWidth="1"/>
    <col min="13861" max="14084" width="9.140625" style="27"/>
    <col min="14085" max="14085" width="3.140625" style="27" customWidth="1"/>
    <col min="14086" max="14086" width="4.5703125" style="27" bestFit="1" customWidth="1"/>
    <col min="14087" max="14087" width="28.5703125" style="27" customWidth="1"/>
    <col min="14088" max="14088" width="32.42578125" style="27" customWidth="1"/>
    <col min="14089" max="14089" width="14.85546875" style="27" customWidth="1"/>
    <col min="14090" max="14090" width="15.5703125" style="27" customWidth="1"/>
    <col min="14091" max="14091" width="19.42578125" style="27" customWidth="1"/>
    <col min="14092" max="14092" width="18.5703125" style="27" customWidth="1"/>
    <col min="14093" max="14093" width="17.85546875" style="27" customWidth="1"/>
    <col min="14094" max="14116" width="19" style="27" customWidth="1"/>
    <col min="14117" max="14340" width="9.140625" style="27"/>
    <col min="14341" max="14341" width="3.140625" style="27" customWidth="1"/>
    <col min="14342" max="14342" width="4.5703125" style="27" bestFit="1" customWidth="1"/>
    <col min="14343" max="14343" width="28.5703125" style="27" customWidth="1"/>
    <col min="14344" max="14344" width="32.42578125" style="27" customWidth="1"/>
    <col min="14345" max="14345" width="14.85546875" style="27" customWidth="1"/>
    <col min="14346" max="14346" width="15.5703125" style="27" customWidth="1"/>
    <col min="14347" max="14347" width="19.42578125" style="27" customWidth="1"/>
    <col min="14348" max="14348" width="18.5703125" style="27" customWidth="1"/>
    <col min="14349" max="14349" width="17.85546875" style="27" customWidth="1"/>
    <col min="14350" max="14372" width="19" style="27" customWidth="1"/>
    <col min="14373" max="14596" width="9.140625" style="27"/>
    <col min="14597" max="14597" width="3.140625" style="27" customWidth="1"/>
    <col min="14598" max="14598" width="4.5703125" style="27" bestFit="1" customWidth="1"/>
    <col min="14599" max="14599" width="28.5703125" style="27" customWidth="1"/>
    <col min="14600" max="14600" width="32.42578125" style="27" customWidth="1"/>
    <col min="14601" max="14601" width="14.85546875" style="27" customWidth="1"/>
    <col min="14602" max="14602" width="15.5703125" style="27" customWidth="1"/>
    <col min="14603" max="14603" width="19.42578125" style="27" customWidth="1"/>
    <col min="14604" max="14604" width="18.5703125" style="27" customWidth="1"/>
    <col min="14605" max="14605" width="17.85546875" style="27" customWidth="1"/>
    <col min="14606" max="14628" width="19" style="27" customWidth="1"/>
    <col min="14629" max="14852" width="9.140625" style="27"/>
    <col min="14853" max="14853" width="3.140625" style="27" customWidth="1"/>
    <col min="14854" max="14854" width="4.5703125" style="27" bestFit="1" customWidth="1"/>
    <col min="14855" max="14855" width="28.5703125" style="27" customWidth="1"/>
    <col min="14856" max="14856" width="32.42578125" style="27" customWidth="1"/>
    <col min="14857" max="14857" width="14.85546875" style="27" customWidth="1"/>
    <col min="14858" max="14858" width="15.5703125" style="27" customWidth="1"/>
    <col min="14859" max="14859" width="19.42578125" style="27" customWidth="1"/>
    <col min="14860" max="14860" width="18.5703125" style="27" customWidth="1"/>
    <col min="14861" max="14861" width="17.85546875" style="27" customWidth="1"/>
    <col min="14862" max="14884" width="19" style="27" customWidth="1"/>
    <col min="14885" max="15108" width="9.140625" style="27"/>
    <col min="15109" max="15109" width="3.140625" style="27" customWidth="1"/>
    <col min="15110" max="15110" width="4.5703125" style="27" bestFit="1" customWidth="1"/>
    <col min="15111" max="15111" width="28.5703125" style="27" customWidth="1"/>
    <col min="15112" max="15112" width="32.42578125" style="27" customWidth="1"/>
    <col min="15113" max="15113" width="14.85546875" style="27" customWidth="1"/>
    <col min="15114" max="15114" width="15.5703125" style="27" customWidth="1"/>
    <col min="15115" max="15115" width="19.42578125" style="27" customWidth="1"/>
    <col min="15116" max="15116" width="18.5703125" style="27" customWidth="1"/>
    <col min="15117" max="15117" width="17.85546875" style="27" customWidth="1"/>
    <col min="15118" max="15140" width="19" style="27" customWidth="1"/>
    <col min="15141" max="15364" width="9.140625" style="27"/>
    <col min="15365" max="15365" width="3.140625" style="27" customWidth="1"/>
    <col min="15366" max="15366" width="4.5703125" style="27" bestFit="1" customWidth="1"/>
    <col min="15367" max="15367" width="28.5703125" style="27" customWidth="1"/>
    <col min="15368" max="15368" width="32.42578125" style="27" customWidth="1"/>
    <col min="15369" max="15369" width="14.85546875" style="27" customWidth="1"/>
    <col min="15370" max="15370" width="15.5703125" style="27" customWidth="1"/>
    <col min="15371" max="15371" width="19.42578125" style="27" customWidth="1"/>
    <col min="15372" max="15372" width="18.5703125" style="27" customWidth="1"/>
    <col min="15373" max="15373" width="17.85546875" style="27" customWidth="1"/>
    <col min="15374" max="15396" width="19" style="27" customWidth="1"/>
    <col min="15397" max="15620" width="9.140625" style="27"/>
    <col min="15621" max="15621" width="3.140625" style="27" customWidth="1"/>
    <col min="15622" max="15622" width="4.5703125" style="27" bestFit="1" customWidth="1"/>
    <col min="15623" max="15623" width="28.5703125" style="27" customWidth="1"/>
    <col min="15624" max="15624" width="32.42578125" style="27" customWidth="1"/>
    <col min="15625" max="15625" width="14.85546875" style="27" customWidth="1"/>
    <col min="15626" max="15626" width="15.5703125" style="27" customWidth="1"/>
    <col min="15627" max="15627" width="19.42578125" style="27" customWidth="1"/>
    <col min="15628" max="15628" width="18.5703125" style="27" customWidth="1"/>
    <col min="15629" max="15629" width="17.85546875" style="27" customWidth="1"/>
    <col min="15630" max="15652" width="19" style="27" customWidth="1"/>
    <col min="15653" max="15876" width="9.140625" style="27"/>
    <col min="15877" max="15877" width="3.140625" style="27" customWidth="1"/>
    <col min="15878" max="15878" width="4.5703125" style="27" bestFit="1" customWidth="1"/>
    <col min="15879" max="15879" width="28.5703125" style="27" customWidth="1"/>
    <col min="15880" max="15880" width="32.42578125" style="27" customWidth="1"/>
    <col min="15881" max="15881" width="14.85546875" style="27" customWidth="1"/>
    <col min="15882" max="15882" width="15.5703125" style="27" customWidth="1"/>
    <col min="15883" max="15883" width="19.42578125" style="27" customWidth="1"/>
    <col min="15884" max="15884" width="18.5703125" style="27" customWidth="1"/>
    <col min="15885" max="15885" width="17.85546875" style="27" customWidth="1"/>
    <col min="15886" max="15908" width="19" style="27" customWidth="1"/>
    <col min="15909" max="16132" width="9.140625" style="27"/>
    <col min="16133" max="16133" width="3.140625" style="27" customWidth="1"/>
    <col min="16134" max="16134" width="4.5703125" style="27" bestFit="1" customWidth="1"/>
    <col min="16135" max="16135" width="28.5703125" style="27" customWidth="1"/>
    <col min="16136" max="16136" width="32.42578125" style="27" customWidth="1"/>
    <col min="16137" max="16137" width="14.85546875" style="27" customWidth="1"/>
    <col min="16138" max="16138" width="15.5703125" style="27" customWidth="1"/>
    <col min="16139" max="16139" width="19.42578125" style="27" customWidth="1"/>
    <col min="16140" max="16140" width="18.5703125" style="27" customWidth="1"/>
    <col min="16141" max="16141" width="17.85546875" style="27" customWidth="1"/>
    <col min="16142" max="16164" width="19" style="27" customWidth="1"/>
    <col min="16165" max="16384" width="9.140625" style="27"/>
  </cols>
  <sheetData>
    <row r="1" spans="1:13" s="155" customFormat="1" ht="24" customHeight="1" x14ac:dyDescent="0.2">
      <c r="A1" s="153" t="s">
        <v>88</v>
      </c>
      <c r="B1" s="154" t="s">
        <v>86</v>
      </c>
      <c r="C1" s="154" t="s">
        <v>25</v>
      </c>
      <c r="D1" s="154" t="s">
        <v>26</v>
      </c>
      <c r="E1" s="154" t="s">
        <v>27</v>
      </c>
      <c r="F1" s="154" t="s">
        <v>28</v>
      </c>
      <c r="G1" s="154" t="s">
        <v>29</v>
      </c>
      <c r="H1" s="154" t="s">
        <v>30</v>
      </c>
      <c r="I1" s="154" t="s">
        <v>87</v>
      </c>
      <c r="J1" s="154" t="s">
        <v>31</v>
      </c>
      <c r="K1" s="154" t="s">
        <v>32</v>
      </c>
      <c r="L1" s="154" t="s">
        <v>33</v>
      </c>
      <c r="M1" s="154" t="s">
        <v>298</v>
      </c>
    </row>
    <row r="2" spans="1:13" ht="12" customHeight="1" x14ac:dyDescent="0.2">
      <c r="A2" s="156"/>
      <c r="B2" s="223"/>
      <c r="C2" s="156"/>
      <c r="D2" s="157"/>
      <c r="E2" s="224"/>
      <c r="F2" s="145"/>
      <c r="G2" s="233"/>
      <c r="H2" s="233"/>
      <c r="I2" s="233"/>
      <c r="J2" s="233"/>
      <c r="K2" s="233"/>
      <c r="L2" s="233"/>
      <c r="M2" s="233"/>
    </row>
    <row r="3" spans="1:13" ht="12" customHeight="1" x14ac:dyDescent="0.2">
      <c r="A3" s="156"/>
      <c r="B3" s="223"/>
      <c r="C3" s="156"/>
      <c r="D3" s="157"/>
      <c r="E3" s="224"/>
      <c r="F3" s="145"/>
      <c r="G3" s="225"/>
      <c r="H3" s="225"/>
      <c r="I3" s="225"/>
      <c r="J3" s="225"/>
      <c r="K3" s="225"/>
      <c r="L3" s="225"/>
      <c r="M3" s="225"/>
    </row>
    <row r="4" spans="1:13" ht="12" customHeight="1" x14ac:dyDescent="0.2">
      <c r="A4" s="156"/>
      <c r="B4" s="223"/>
      <c r="C4" s="156"/>
      <c r="D4" s="157"/>
      <c r="E4" s="224"/>
      <c r="F4" s="145"/>
      <c r="G4" s="225"/>
      <c r="H4" s="225"/>
      <c r="I4" s="225"/>
      <c r="J4" s="225"/>
      <c r="K4" s="225"/>
      <c r="L4" s="225"/>
      <c r="M4" s="225"/>
    </row>
    <row r="5" spans="1:13" ht="12" customHeight="1" x14ac:dyDescent="0.2">
      <c r="A5" s="156"/>
      <c r="B5" s="223"/>
      <c r="C5" s="156"/>
      <c r="D5" s="157"/>
      <c r="E5" s="224"/>
      <c r="F5" s="145"/>
      <c r="G5" s="225"/>
      <c r="H5" s="225"/>
      <c r="I5" s="225"/>
      <c r="J5" s="225"/>
      <c r="K5" s="225"/>
      <c r="L5" s="225"/>
      <c r="M5" s="225"/>
    </row>
    <row r="6" spans="1:13" ht="12" customHeight="1" x14ac:dyDescent="0.2">
      <c r="A6" s="156"/>
      <c r="B6" s="223"/>
      <c r="C6" s="156"/>
      <c r="D6" s="157"/>
      <c r="E6" s="224"/>
      <c r="F6" s="145"/>
      <c r="G6" s="225"/>
      <c r="H6" s="225"/>
      <c r="I6" s="225"/>
      <c r="J6" s="225"/>
      <c r="K6" s="225"/>
      <c r="L6" s="225"/>
      <c r="M6" s="225"/>
    </row>
    <row r="7" spans="1:13" ht="12" customHeight="1" x14ac:dyDescent="0.2">
      <c r="A7" s="156"/>
      <c r="B7" s="223"/>
      <c r="C7" s="156"/>
      <c r="D7" s="157"/>
      <c r="E7" s="224"/>
      <c r="F7" s="145"/>
      <c r="G7" s="225"/>
      <c r="H7" s="225"/>
      <c r="I7" s="225"/>
      <c r="J7" s="225"/>
      <c r="K7" s="225"/>
      <c r="L7" s="225"/>
      <c r="M7" s="225"/>
    </row>
    <row r="8" spans="1:13" ht="12" customHeight="1" x14ac:dyDescent="0.2">
      <c r="A8" s="156"/>
      <c r="B8" s="223"/>
      <c r="C8" s="156"/>
      <c r="D8" s="157"/>
      <c r="E8" s="224"/>
      <c r="F8" s="145"/>
      <c r="G8" s="225"/>
      <c r="H8" s="225"/>
      <c r="I8" s="225"/>
      <c r="J8" s="225"/>
      <c r="K8" s="225"/>
      <c r="L8" s="225"/>
      <c r="M8" s="225"/>
    </row>
    <row r="9" spans="1:13" ht="12" customHeight="1" x14ac:dyDescent="0.2">
      <c r="A9" s="156"/>
      <c r="B9" s="223"/>
      <c r="C9" s="156"/>
      <c r="D9" s="157"/>
      <c r="E9" s="224"/>
      <c r="F9" s="145"/>
      <c r="G9" s="225"/>
      <c r="H9" s="225"/>
      <c r="I9" s="225"/>
      <c r="J9" s="225"/>
      <c r="K9" s="225"/>
      <c r="L9" s="225"/>
      <c r="M9" s="225"/>
    </row>
    <row r="10" spans="1:13" ht="12" customHeight="1" x14ac:dyDescent="0.2">
      <c r="A10" s="156"/>
      <c r="B10" s="223"/>
      <c r="C10" s="156"/>
      <c r="D10" s="157"/>
      <c r="E10" s="224"/>
      <c r="F10" s="145"/>
      <c r="G10" s="225"/>
      <c r="H10" s="225"/>
      <c r="I10" s="225"/>
      <c r="J10" s="225"/>
      <c r="K10" s="225"/>
      <c r="L10" s="225"/>
      <c r="M10" s="225"/>
    </row>
    <row r="11" spans="1:13" ht="12" customHeight="1" x14ac:dyDescent="0.2">
      <c r="A11" s="156"/>
      <c r="B11" s="223"/>
      <c r="C11" s="156"/>
      <c r="D11" s="157"/>
      <c r="E11" s="224"/>
      <c r="F11" s="145"/>
      <c r="G11" s="225"/>
      <c r="H11" s="225"/>
      <c r="I11" s="225"/>
      <c r="J11" s="225"/>
      <c r="K11" s="225"/>
      <c r="L11" s="225"/>
      <c r="M11" s="225"/>
    </row>
    <row r="12" spans="1:13" ht="12" customHeight="1" x14ac:dyDescent="0.2">
      <c r="A12" s="156"/>
      <c r="B12" s="223"/>
      <c r="C12" s="156"/>
      <c r="D12" s="157"/>
      <c r="E12" s="224"/>
      <c r="F12" s="145"/>
      <c r="G12" s="225"/>
      <c r="H12" s="225"/>
      <c r="I12" s="225"/>
      <c r="J12" s="225"/>
      <c r="K12" s="225"/>
      <c r="L12" s="225"/>
      <c r="M12" s="225"/>
    </row>
    <row r="13" spans="1:13" ht="12" customHeight="1" x14ac:dyDescent="0.2">
      <c r="A13" s="156"/>
      <c r="B13" s="223"/>
      <c r="C13" s="156"/>
      <c r="D13" s="157"/>
      <c r="E13" s="224"/>
      <c r="F13" s="145"/>
      <c r="G13" s="225"/>
      <c r="H13" s="225"/>
      <c r="I13" s="225"/>
      <c r="J13" s="225"/>
      <c r="K13" s="225"/>
      <c r="L13" s="225"/>
      <c r="M13" s="225"/>
    </row>
    <row r="14" spans="1:13" ht="12" customHeight="1" x14ac:dyDescent="0.2">
      <c r="A14" s="156"/>
      <c r="B14" s="223"/>
      <c r="C14" s="156"/>
      <c r="D14" s="157"/>
      <c r="E14" s="224"/>
      <c r="F14" s="145"/>
      <c r="G14" s="225"/>
      <c r="H14" s="225"/>
      <c r="I14" s="225"/>
      <c r="J14" s="225"/>
      <c r="K14" s="225"/>
      <c r="L14" s="225"/>
      <c r="M14" s="225"/>
    </row>
    <row r="15" spans="1:13" ht="12" customHeight="1" x14ac:dyDescent="0.2">
      <c r="A15" s="156"/>
      <c r="B15" s="223"/>
      <c r="C15" s="156"/>
      <c r="D15" s="157"/>
      <c r="E15" s="224"/>
      <c r="F15" s="145"/>
      <c r="G15" s="225"/>
      <c r="H15" s="225"/>
      <c r="I15" s="225"/>
      <c r="J15" s="225"/>
      <c r="K15" s="225"/>
      <c r="L15" s="225"/>
      <c r="M15" s="225"/>
    </row>
    <row r="16" spans="1:13" ht="12" customHeight="1" x14ac:dyDescent="0.2">
      <c r="A16" s="156"/>
      <c r="B16" s="223"/>
      <c r="C16" s="156"/>
      <c r="D16" s="157"/>
      <c r="E16" s="224"/>
      <c r="F16" s="145"/>
      <c r="G16" s="225"/>
      <c r="H16" s="225"/>
      <c r="I16" s="225"/>
      <c r="J16" s="225"/>
      <c r="K16" s="225"/>
      <c r="L16" s="225"/>
      <c r="M16" s="225"/>
    </row>
    <row r="17" spans="1:13" ht="12" customHeight="1" x14ac:dyDescent="0.2">
      <c r="A17" s="156"/>
      <c r="B17" s="223"/>
      <c r="C17" s="156"/>
      <c r="D17" s="157"/>
      <c r="E17" s="224"/>
      <c r="F17" s="145"/>
      <c r="G17" s="225"/>
      <c r="H17" s="225"/>
      <c r="I17" s="225"/>
      <c r="J17" s="225"/>
      <c r="K17" s="225"/>
      <c r="L17" s="225"/>
      <c r="M17" s="225"/>
    </row>
    <row r="18" spans="1:13" ht="12" customHeight="1" x14ac:dyDescent="0.2">
      <c r="A18" s="156"/>
      <c r="B18" s="223"/>
      <c r="C18" s="156"/>
      <c r="D18" s="157"/>
      <c r="E18" s="224"/>
      <c r="F18" s="145"/>
      <c r="G18" s="225"/>
      <c r="H18" s="225"/>
      <c r="I18" s="225"/>
      <c r="J18" s="225"/>
      <c r="K18" s="225"/>
      <c r="L18" s="225"/>
      <c r="M18" s="225"/>
    </row>
    <row r="19" spans="1:13" ht="12" customHeight="1" x14ac:dyDescent="0.2">
      <c r="A19" s="156"/>
      <c r="B19" s="223"/>
      <c r="C19" s="156"/>
      <c r="D19" s="157"/>
      <c r="E19" s="224"/>
      <c r="F19" s="145"/>
      <c r="G19" s="225"/>
      <c r="H19" s="225"/>
      <c r="I19" s="225"/>
      <c r="J19" s="225"/>
      <c r="K19" s="225"/>
      <c r="L19" s="225"/>
      <c r="M19" s="225"/>
    </row>
    <row r="20" spans="1:13" ht="12" customHeight="1" x14ac:dyDescent="0.2">
      <c r="A20" s="156"/>
      <c r="B20" s="223"/>
      <c r="C20" s="156"/>
      <c r="D20" s="157"/>
      <c r="E20" s="224"/>
      <c r="F20" s="145"/>
      <c r="G20" s="225"/>
      <c r="H20" s="225"/>
      <c r="I20" s="225"/>
      <c r="J20" s="225"/>
      <c r="K20" s="225"/>
      <c r="L20" s="225"/>
      <c r="M20" s="225"/>
    </row>
    <row r="21" spans="1:13" ht="12" customHeight="1" x14ac:dyDescent="0.2">
      <c r="A21" s="156"/>
      <c r="B21" s="223"/>
      <c r="C21" s="156"/>
      <c r="D21" s="157"/>
      <c r="E21" s="224"/>
      <c r="F21" s="145"/>
      <c r="G21" s="225"/>
      <c r="H21" s="225"/>
      <c r="I21" s="225"/>
      <c r="J21" s="225"/>
      <c r="K21" s="225"/>
      <c r="L21" s="225"/>
      <c r="M21" s="225"/>
    </row>
    <row r="22" spans="1:13" ht="12" customHeight="1" x14ac:dyDescent="0.2">
      <c r="A22" s="156"/>
      <c r="B22" s="223"/>
      <c r="C22" s="156"/>
      <c r="D22" s="157"/>
      <c r="E22" s="224"/>
      <c r="F22" s="145"/>
      <c r="G22" s="225"/>
      <c r="H22" s="225"/>
      <c r="I22" s="225"/>
      <c r="J22" s="225"/>
      <c r="K22" s="225"/>
      <c r="L22" s="225"/>
      <c r="M22" s="225"/>
    </row>
    <row r="23" spans="1:13" ht="12" customHeight="1" x14ac:dyDescent="0.2">
      <c r="A23" s="156"/>
      <c r="B23" s="223"/>
      <c r="C23" s="156"/>
      <c r="D23" s="157"/>
      <c r="E23" s="224"/>
      <c r="F23" s="145"/>
      <c r="G23" s="225"/>
      <c r="H23" s="225"/>
      <c r="I23" s="225"/>
      <c r="J23" s="225"/>
      <c r="K23" s="225"/>
      <c r="L23" s="225"/>
      <c r="M23" s="225"/>
    </row>
    <row r="24" spans="1:13" ht="12" customHeight="1" x14ac:dyDescent="0.2">
      <c r="A24" s="156"/>
      <c r="B24" s="223"/>
      <c r="C24" s="156"/>
      <c r="D24" s="157"/>
      <c r="E24" s="224"/>
      <c r="F24" s="145"/>
      <c r="G24" s="225"/>
      <c r="H24" s="225"/>
      <c r="I24" s="225"/>
      <c r="J24" s="225"/>
      <c r="K24" s="225"/>
      <c r="L24" s="225"/>
      <c r="M24" s="225"/>
    </row>
    <row r="25" spans="1:13" ht="12" customHeight="1" x14ac:dyDescent="0.2">
      <c r="A25" s="156"/>
      <c r="B25" s="223"/>
      <c r="C25" s="156"/>
      <c r="D25" s="157"/>
      <c r="E25" s="224"/>
      <c r="F25" s="145"/>
      <c r="G25" s="225"/>
      <c r="H25" s="225"/>
      <c r="I25" s="225"/>
      <c r="J25" s="225"/>
      <c r="K25" s="225"/>
      <c r="L25" s="225"/>
      <c r="M25" s="225"/>
    </row>
    <row r="26" spans="1:13" ht="12" customHeight="1" x14ac:dyDescent="0.2">
      <c r="A26" s="156"/>
      <c r="B26" s="223"/>
      <c r="C26" s="156"/>
      <c r="D26" s="157"/>
      <c r="E26" s="224"/>
      <c r="F26" s="145"/>
      <c r="G26" s="225"/>
      <c r="H26" s="225"/>
      <c r="I26" s="225"/>
      <c r="J26" s="225"/>
      <c r="K26" s="225"/>
      <c r="L26" s="225"/>
      <c r="M26" s="225"/>
    </row>
    <row r="27" spans="1:13" ht="12" customHeight="1" x14ac:dyDescent="0.2">
      <c r="A27" s="156"/>
      <c r="B27" s="223"/>
      <c r="C27" s="156"/>
      <c r="D27" s="157"/>
      <c r="E27" s="224"/>
      <c r="F27" s="145"/>
      <c r="G27" s="225"/>
      <c r="H27" s="225"/>
      <c r="I27" s="225"/>
      <c r="J27" s="225"/>
      <c r="K27" s="225"/>
      <c r="L27" s="225"/>
      <c r="M27" s="225"/>
    </row>
    <row r="28" spans="1:13" ht="12" customHeight="1" x14ac:dyDescent="0.2">
      <c r="A28" s="156"/>
      <c r="B28" s="223"/>
      <c r="C28" s="156"/>
      <c r="D28" s="157"/>
      <c r="E28" s="224"/>
      <c r="F28" s="145"/>
      <c r="G28" s="225"/>
      <c r="H28" s="225"/>
      <c r="I28" s="225"/>
      <c r="J28" s="225"/>
      <c r="K28" s="225"/>
      <c r="L28" s="225"/>
      <c r="M28" s="225"/>
    </row>
    <row r="29" spans="1:13" ht="12" customHeight="1" x14ac:dyDescent="0.2">
      <c r="A29" s="156"/>
      <c r="B29" s="223"/>
      <c r="C29" s="156"/>
      <c r="D29" s="157"/>
      <c r="E29" s="224"/>
      <c r="F29" s="145"/>
      <c r="G29" s="225"/>
      <c r="H29" s="225"/>
      <c r="I29" s="225"/>
      <c r="J29" s="225"/>
      <c r="K29" s="225"/>
      <c r="L29" s="225"/>
      <c r="M29" s="225"/>
    </row>
    <row r="30" spans="1:13" ht="12" customHeight="1" x14ac:dyDescent="0.2">
      <c r="A30" s="156"/>
      <c r="B30" s="223"/>
      <c r="C30" s="156"/>
      <c r="D30" s="157"/>
      <c r="E30" s="224"/>
      <c r="F30" s="145"/>
      <c r="G30" s="225"/>
      <c r="H30" s="225"/>
      <c r="I30" s="225"/>
      <c r="J30" s="225"/>
      <c r="K30" s="225"/>
      <c r="L30" s="225"/>
      <c r="M30" s="225"/>
    </row>
    <row r="31" spans="1:13" ht="12" customHeight="1" x14ac:dyDescent="0.2">
      <c r="A31" s="156"/>
      <c r="B31" s="223"/>
      <c r="C31" s="156"/>
      <c r="D31" s="157"/>
      <c r="E31" s="224"/>
      <c r="F31" s="145"/>
      <c r="G31" s="225"/>
      <c r="H31" s="225"/>
      <c r="I31" s="225"/>
      <c r="J31" s="225"/>
      <c r="K31" s="225"/>
      <c r="L31" s="225"/>
      <c r="M31" s="225"/>
    </row>
    <row r="32" spans="1:13" ht="12" customHeight="1" x14ac:dyDescent="0.2">
      <c r="A32" s="156"/>
      <c r="B32" s="223"/>
      <c r="C32" s="156"/>
      <c r="D32" s="157"/>
      <c r="E32" s="224"/>
      <c r="F32" s="145"/>
      <c r="G32" s="225"/>
      <c r="H32" s="225"/>
      <c r="I32" s="225"/>
      <c r="J32" s="225"/>
      <c r="K32" s="225"/>
      <c r="L32" s="225"/>
      <c r="M32" s="225"/>
    </row>
    <row r="33" spans="1:13" ht="12" customHeight="1" x14ac:dyDescent="0.2">
      <c r="A33" s="156"/>
      <c r="B33" s="223"/>
      <c r="C33" s="156"/>
      <c r="D33" s="157"/>
      <c r="E33" s="224"/>
      <c r="F33" s="145"/>
      <c r="G33" s="225"/>
      <c r="H33" s="225"/>
      <c r="I33" s="225"/>
      <c r="J33" s="225"/>
      <c r="K33" s="225"/>
      <c r="L33" s="225"/>
      <c r="M33" s="225"/>
    </row>
    <row r="34" spans="1:13" ht="12" customHeight="1" x14ac:dyDescent="0.2">
      <c r="A34" s="156"/>
      <c r="B34" s="223"/>
      <c r="C34" s="156"/>
      <c r="D34" s="157"/>
      <c r="E34" s="224"/>
      <c r="F34" s="145"/>
      <c r="G34" s="225"/>
      <c r="H34" s="225"/>
      <c r="I34" s="225"/>
      <c r="J34" s="225"/>
      <c r="K34" s="225"/>
      <c r="L34" s="225"/>
      <c r="M34" s="225"/>
    </row>
    <row r="35" spans="1:13" ht="12" customHeight="1" x14ac:dyDescent="0.2">
      <c r="A35" s="156"/>
      <c r="B35" s="223"/>
      <c r="C35" s="156"/>
      <c r="D35" s="157"/>
      <c r="E35" s="224"/>
      <c r="F35" s="145"/>
      <c r="G35" s="225"/>
      <c r="H35" s="225"/>
      <c r="I35" s="225"/>
      <c r="J35" s="225"/>
      <c r="K35" s="225"/>
      <c r="L35" s="225"/>
      <c r="M35" s="225"/>
    </row>
    <row r="36" spans="1:13" ht="12" customHeight="1" x14ac:dyDescent="0.2">
      <c r="A36" s="156"/>
      <c r="B36" s="223"/>
      <c r="C36" s="156"/>
      <c r="D36" s="157"/>
      <c r="E36" s="224"/>
      <c r="F36" s="145"/>
      <c r="G36" s="225"/>
      <c r="H36" s="225"/>
      <c r="I36" s="225"/>
      <c r="J36" s="225"/>
      <c r="K36" s="225"/>
      <c r="L36" s="225"/>
      <c r="M36" s="225"/>
    </row>
    <row r="37" spans="1:13" ht="12" customHeight="1" x14ac:dyDescent="0.2">
      <c r="A37" s="156"/>
      <c r="B37" s="223"/>
      <c r="C37" s="156"/>
      <c r="D37" s="157"/>
      <c r="E37" s="224"/>
      <c r="F37" s="145"/>
      <c r="G37" s="225"/>
      <c r="H37" s="225"/>
      <c r="I37" s="225"/>
      <c r="J37" s="225"/>
      <c r="K37" s="225"/>
      <c r="L37" s="225"/>
      <c r="M37" s="225"/>
    </row>
    <row r="38" spans="1:13" ht="12" customHeight="1" x14ac:dyDescent="0.2">
      <c r="A38" s="156"/>
      <c r="B38" s="223"/>
      <c r="C38" s="156"/>
      <c r="D38" s="157"/>
      <c r="E38" s="224"/>
      <c r="F38" s="145"/>
      <c r="G38" s="225"/>
      <c r="H38" s="225"/>
      <c r="I38" s="225"/>
      <c r="J38" s="225"/>
      <c r="K38" s="225"/>
      <c r="L38" s="225"/>
      <c r="M38" s="225"/>
    </row>
    <row r="39" spans="1:13" ht="12" customHeight="1" x14ac:dyDescent="0.2">
      <c r="A39" s="156"/>
      <c r="B39" s="223"/>
      <c r="C39" s="156"/>
      <c r="D39" s="157"/>
      <c r="E39" s="224"/>
      <c r="F39" s="145"/>
      <c r="G39" s="225"/>
      <c r="H39" s="225"/>
      <c r="I39" s="225"/>
      <c r="J39" s="225"/>
      <c r="K39" s="225"/>
      <c r="L39" s="225"/>
      <c r="M39" s="225"/>
    </row>
    <row r="40" spans="1:13" ht="12" customHeight="1" x14ac:dyDescent="0.2">
      <c r="A40" s="156"/>
      <c r="B40" s="223"/>
      <c r="C40" s="156"/>
      <c r="D40" s="157"/>
      <c r="E40" s="224"/>
      <c r="F40" s="145"/>
      <c r="G40" s="225"/>
      <c r="H40" s="225"/>
      <c r="I40" s="225"/>
      <c r="J40" s="225"/>
      <c r="K40" s="225"/>
      <c r="L40" s="225"/>
      <c r="M40" s="225"/>
    </row>
    <row r="41" spans="1:13" ht="12" customHeight="1" x14ac:dyDescent="0.2">
      <c r="A41" s="156"/>
      <c r="B41" s="223"/>
      <c r="C41" s="156"/>
      <c r="D41" s="157"/>
      <c r="E41" s="224"/>
      <c r="F41" s="145"/>
      <c r="G41" s="225"/>
      <c r="H41" s="225"/>
      <c r="I41" s="225"/>
      <c r="J41" s="225"/>
      <c r="K41" s="225"/>
      <c r="L41" s="225"/>
      <c r="M41" s="225"/>
    </row>
    <row r="42" spans="1:13" ht="12" customHeight="1" x14ac:dyDescent="0.2">
      <c r="A42" s="156"/>
      <c r="B42" s="223"/>
      <c r="C42" s="156"/>
      <c r="D42" s="157"/>
      <c r="E42" s="224"/>
      <c r="F42" s="145"/>
      <c r="G42" s="225"/>
      <c r="H42" s="225"/>
      <c r="I42" s="225"/>
      <c r="J42" s="225"/>
      <c r="K42" s="225"/>
      <c r="L42" s="225"/>
      <c r="M42" s="225"/>
    </row>
    <row r="43" spans="1:13" ht="12" customHeight="1" x14ac:dyDescent="0.2">
      <c r="A43" s="156"/>
      <c r="B43" s="223"/>
      <c r="C43" s="156"/>
      <c r="D43" s="157"/>
      <c r="E43" s="224"/>
      <c r="F43" s="145"/>
      <c r="G43" s="225"/>
      <c r="H43" s="225"/>
      <c r="I43" s="225"/>
      <c r="J43" s="225"/>
      <c r="K43" s="225"/>
      <c r="L43" s="225"/>
      <c r="M43" s="225"/>
    </row>
    <row r="44" spans="1:13" ht="12" customHeight="1" x14ac:dyDescent="0.2">
      <c r="A44" s="156"/>
      <c r="B44" s="223"/>
      <c r="C44" s="156"/>
      <c r="D44" s="157"/>
      <c r="E44" s="224"/>
      <c r="F44" s="145"/>
      <c r="G44" s="225"/>
      <c r="H44" s="225"/>
      <c r="I44" s="225"/>
      <c r="J44" s="225"/>
      <c r="K44" s="225"/>
      <c r="L44" s="225"/>
      <c r="M44" s="225"/>
    </row>
    <row r="45" spans="1:13" ht="12" customHeight="1" x14ac:dyDescent="0.2">
      <c r="A45" s="156"/>
      <c r="B45" s="223"/>
      <c r="C45" s="156"/>
      <c r="D45" s="157"/>
      <c r="E45" s="224"/>
      <c r="F45" s="145"/>
      <c r="G45" s="225"/>
      <c r="H45" s="225"/>
      <c r="I45" s="225"/>
      <c r="J45" s="225"/>
      <c r="K45" s="225"/>
      <c r="L45" s="225"/>
      <c r="M45" s="225"/>
    </row>
    <row r="46" spans="1:13" ht="12" customHeight="1" x14ac:dyDescent="0.2">
      <c r="A46" s="156"/>
      <c r="B46" s="223"/>
      <c r="C46" s="156"/>
      <c r="D46" s="157"/>
      <c r="E46" s="224"/>
      <c r="F46" s="145"/>
      <c r="G46" s="225"/>
      <c r="H46" s="225"/>
      <c r="I46" s="225"/>
      <c r="J46" s="225"/>
      <c r="K46" s="225"/>
      <c r="L46" s="225"/>
      <c r="M46" s="225"/>
    </row>
    <row r="47" spans="1:13" ht="12" customHeight="1" x14ac:dyDescent="0.2">
      <c r="A47" s="156"/>
      <c r="B47" s="223"/>
      <c r="C47" s="156"/>
      <c r="D47" s="157"/>
      <c r="E47" s="224"/>
      <c r="F47" s="145"/>
      <c r="G47" s="225"/>
      <c r="H47" s="225"/>
      <c r="I47" s="225"/>
      <c r="J47" s="225"/>
      <c r="K47" s="225"/>
      <c r="L47" s="225"/>
      <c r="M47" s="225"/>
    </row>
    <row r="48" spans="1:13" ht="12" customHeight="1" x14ac:dyDescent="0.2">
      <c r="A48" s="156"/>
      <c r="B48" s="223"/>
      <c r="C48" s="156"/>
      <c r="D48" s="157"/>
      <c r="E48" s="224"/>
      <c r="F48" s="145"/>
      <c r="G48" s="225"/>
      <c r="H48" s="225"/>
      <c r="I48" s="225"/>
      <c r="J48" s="225"/>
      <c r="K48" s="225"/>
      <c r="L48" s="225"/>
      <c r="M48" s="225"/>
    </row>
    <row r="49" spans="1:13" ht="12" customHeight="1" x14ac:dyDescent="0.2">
      <c r="A49" s="156"/>
      <c r="B49" s="223"/>
      <c r="C49" s="156"/>
      <c r="D49" s="157"/>
      <c r="E49" s="224"/>
      <c r="F49" s="145"/>
      <c r="G49" s="225"/>
      <c r="H49" s="225"/>
      <c r="I49" s="225"/>
      <c r="J49" s="225"/>
      <c r="K49" s="225"/>
      <c r="L49" s="225"/>
      <c r="M49" s="225"/>
    </row>
    <row r="50" spans="1:13" ht="12" customHeight="1" x14ac:dyDescent="0.2">
      <c r="A50" s="156"/>
      <c r="B50" s="223"/>
      <c r="C50" s="156"/>
      <c r="D50" s="157"/>
      <c r="E50" s="224"/>
      <c r="F50" s="145"/>
      <c r="G50" s="225"/>
      <c r="H50" s="225"/>
      <c r="I50" s="225"/>
      <c r="J50" s="225"/>
      <c r="K50" s="225"/>
      <c r="L50" s="225"/>
      <c r="M50" s="225"/>
    </row>
    <row r="51" spans="1:13" ht="12" customHeight="1" x14ac:dyDescent="0.2">
      <c r="A51" s="156"/>
      <c r="B51" s="223"/>
      <c r="C51" s="156"/>
      <c r="D51" s="157"/>
      <c r="E51" s="224"/>
      <c r="F51" s="145"/>
      <c r="G51" s="225"/>
      <c r="H51" s="225"/>
      <c r="I51" s="225"/>
      <c r="J51" s="225"/>
      <c r="K51" s="225"/>
      <c r="L51" s="225"/>
      <c r="M51" s="225"/>
    </row>
    <row r="52" spans="1:13" ht="12" customHeight="1" x14ac:dyDescent="0.2">
      <c r="A52" s="156"/>
      <c r="B52" s="223"/>
      <c r="C52" s="156"/>
      <c r="D52" s="157"/>
      <c r="E52" s="224"/>
      <c r="F52" s="145"/>
      <c r="G52" s="225"/>
      <c r="H52" s="225"/>
      <c r="I52" s="225"/>
      <c r="J52" s="225"/>
      <c r="K52" s="225"/>
      <c r="L52" s="225"/>
      <c r="M52" s="225"/>
    </row>
    <row r="53" spans="1:13" ht="12" customHeight="1" x14ac:dyDescent="0.2">
      <c r="A53" s="156"/>
      <c r="B53" s="223"/>
      <c r="C53" s="156"/>
      <c r="D53" s="157"/>
      <c r="E53" s="224"/>
      <c r="F53" s="145"/>
      <c r="G53" s="225"/>
      <c r="H53" s="225"/>
      <c r="I53" s="225"/>
      <c r="J53" s="225"/>
      <c r="K53" s="225"/>
      <c r="L53" s="225"/>
      <c r="M53" s="225"/>
    </row>
    <row r="54" spans="1:13" ht="12" customHeight="1" x14ac:dyDescent="0.2">
      <c r="A54" s="156"/>
      <c r="B54" s="223"/>
      <c r="C54" s="156"/>
      <c r="D54" s="157"/>
      <c r="E54" s="224"/>
      <c r="F54" s="145"/>
      <c r="G54" s="225"/>
      <c r="H54" s="225"/>
      <c r="I54" s="225"/>
      <c r="J54" s="225"/>
      <c r="K54" s="225"/>
      <c r="L54" s="225"/>
      <c r="M54" s="225"/>
    </row>
    <row r="55" spans="1:13" ht="12" customHeight="1" x14ac:dyDescent="0.2">
      <c r="A55" s="156"/>
      <c r="B55" s="223"/>
      <c r="C55" s="156"/>
      <c r="D55" s="157"/>
      <c r="E55" s="224"/>
      <c r="F55" s="145"/>
      <c r="G55" s="225"/>
      <c r="H55" s="225"/>
      <c r="I55" s="225"/>
      <c r="J55" s="225"/>
      <c r="K55" s="225"/>
      <c r="L55" s="225"/>
      <c r="M55" s="225"/>
    </row>
    <row r="56" spans="1:13" ht="12" customHeight="1" x14ac:dyDescent="0.2">
      <c r="A56" s="156"/>
      <c r="B56" s="223"/>
      <c r="C56" s="156"/>
      <c r="D56" s="157"/>
      <c r="E56" s="224"/>
      <c r="F56" s="145"/>
      <c r="G56" s="225"/>
      <c r="H56" s="225"/>
      <c r="I56" s="225"/>
      <c r="J56" s="225"/>
      <c r="K56" s="225"/>
      <c r="L56" s="225"/>
      <c r="M56" s="225"/>
    </row>
    <row r="57" spans="1:13" ht="12" customHeight="1" x14ac:dyDescent="0.2">
      <c r="A57" s="156"/>
      <c r="B57" s="223"/>
      <c r="C57" s="156"/>
      <c r="D57" s="157"/>
      <c r="E57" s="224"/>
      <c r="F57" s="145"/>
      <c r="G57" s="225"/>
      <c r="H57" s="225"/>
      <c r="I57" s="225"/>
      <c r="J57" s="225"/>
      <c r="K57" s="225"/>
      <c r="L57" s="225"/>
      <c r="M57" s="225"/>
    </row>
    <row r="58" spans="1:13" ht="12" customHeight="1" x14ac:dyDescent="0.2">
      <c r="A58" s="156"/>
      <c r="B58" s="223"/>
      <c r="C58" s="156"/>
      <c r="D58" s="157"/>
      <c r="E58" s="224"/>
      <c r="F58" s="145"/>
      <c r="G58" s="225"/>
      <c r="H58" s="225"/>
      <c r="I58" s="225"/>
      <c r="J58" s="225"/>
      <c r="K58" s="225"/>
      <c r="L58" s="225"/>
      <c r="M58" s="225"/>
    </row>
    <row r="59" spans="1:13" ht="12" customHeight="1" x14ac:dyDescent="0.2">
      <c r="A59" s="156"/>
      <c r="B59" s="223"/>
      <c r="C59" s="156"/>
      <c r="D59" s="157"/>
      <c r="E59" s="224"/>
      <c r="F59" s="145"/>
      <c r="G59" s="225"/>
      <c r="H59" s="225"/>
      <c r="I59" s="225"/>
      <c r="J59" s="225"/>
      <c r="K59" s="225"/>
      <c r="L59" s="225"/>
      <c r="M59" s="225"/>
    </row>
    <row r="60" spans="1:13" ht="12" customHeight="1" x14ac:dyDescent="0.2">
      <c r="A60" s="156"/>
      <c r="B60" s="223"/>
      <c r="C60" s="156"/>
      <c r="D60" s="157"/>
      <c r="E60" s="224"/>
      <c r="F60" s="145"/>
      <c r="G60" s="225"/>
      <c r="H60" s="225"/>
      <c r="I60" s="225"/>
      <c r="J60" s="225"/>
      <c r="K60" s="225"/>
      <c r="L60" s="225"/>
      <c r="M60" s="225"/>
    </row>
    <row r="61" spans="1:13" ht="12" customHeight="1" x14ac:dyDescent="0.2">
      <c r="A61" s="156"/>
      <c r="B61" s="223"/>
      <c r="C61" s="156"/>
      <c r="D61" s="157"/>
      <c r="E61" s="224"/>
      <c r="F61" s="145"/>
      <c r="G61" s="225"/>
      <c r="H61" s="225"/>
      <c r="I61" s="225"/>
      <c r="J61" s="225"/>
      <c r="K61" s="225"/>
      <c r="L61" s="225"/>
      <c r="M61" s="225"/>
    </row>
    <row r="62" spans="1:13" ht="12" customHeight="1" x14ac:dyDescent="0.2">
      <c r="A62" s="156"/>
      <c r="B62" s="223"/>
      <c r="C62" s="156"/>
      <c r="D62" s="157"/>
      <c r="E62" s="224"/>
      <c r="F62" s="145"/>
      <c r="G62" s="225"/>
      <c r="H62" s="225"/>
      <c r="I62" s="225"/>
      <c r="J62" s="225"/>
      <c r="K62" s="225"/>
      <c r="L62" s="225"/>
      <c r="M62" s="225"/>
    </row>
    <row r="63" spans="1:13" ht="12" customHeight="1" x14ac:dyDescent="0.2">
      <c r="A63" s="156"/>
      <c r="B63" s="223"/>
      <c r="C63" s="156"/>
      <c r="D63" s="157"/>
      <c r="E63" s="224"/>
      <c r="F63" s="145"/>
      <c r="G63" s="225"/>
      <c r="H63" s="225"/>
      <c r="I63" s="225"/>
      <c r="J63" s="225"/>
      <c r="K63" s="225"/>
      <c r="L63" s="225"/>
      <c r="M63" s="225"/>
    </row>
    <row r="64" spans="1:13" ht="12" customHeight="1" x14ac:dyDescent="0.2">
      <c r="A64" s="156"/>
      <c r="B64" s="223"/>
      <c r="C64" s="156"/>
      <c r="D64" s="157"/>
      <c r="E64" s="224"/>
      <c r="F64" s="145"/>
      <c r="G64" s="225"/>
      <c r="H64" s="225"/>
      <c r="I64" s="225"/>
      <c r="J64" s="225"/>
      <c r="K64" s="225"/>
      <c r="L64" s="225"/>
      <c r="M64" s="225"/>
    </row>
    <row r="65" spans="1:13" ht="12" customHeight="1" x14ac:dyDescent="0.2">
      <c r="A65" s="156"/>
      <c r="B65" s="223"/>
      <c r="C65" s="156"/>
      <c r="D65" s="157"/>
      <c r="E65" s="224"/>
      <c r="F65" s="145"/>
      <c r="G65" s="225"/>
      <c r="H65" s="225"/>
      <c r="I65" s="225"/>
      <c r="J65" s="225"/>
      <c r="K65" s="225"/>
      <c r="L65" s="225"/>
      <c r="M65" s="225"/>
    </row>
    <row r="66" spans="1:13" ht="12" customHeight="1" x14ac:dyDescent="0.2">
      <c r="A66" s="156"/>
      <c r="B66" s="223"/>
      <c r="C66" s="156"/>
      <c r="D66" s="157"/>
      <c r="E66" s="224"/>
      <c r="F66" s="145"/>
      <c r="G66" s="225"/>
      <c r="H66" s="225"/>
      <c r="I66" s="225"/>
      <c r="J66" s="225"/>
      <c r="K66" s="225"/>
      <c r="L66" s="225"/>
      <c r="M66" s="225"/>
    </row>
    <row r="67" spans="1:13" ht="12" customHeight="1" x14ac:dyDescent="0.2">
      <c r="A67" s="156"/>
      <c r="B67" s="223"/>
      <c r="C67" s="156"/>
      <c r="D67" s="157"/>
      <c r="E67" s="224"/>
      <c r="F67" s="145"/>
      <c r="G67" s="225"/>
      <c r="H67" s="225"/>
      <c r="I67" s="225"/>
      <c r="J67" s="225"/>
      <c r="K67" s="225"/>
      <c r="L67" s="225"/>
      <c r="M67" s="225"/>
    </row>
    <row r="68" spans="1:13" ht="12" customHeight="1" x14ac:dyDescent="0.2">
      <c r="A68" s="156"/>
      <c r="B68" s="223"/>
      <c r="C68" s="156"/>
      <c r="D68" s="157"/>
      <c r="E68" s="224"/>
      <c r="F68" s="145"/>
      <c r="G68" s="225"/>
      <c r="H68" s="225"/>
      <c r="I68" s="225"/>
      <c r="J68" s="225"/>
      <c r="K68" s="225"/>
      <c r="L68" s="225"/>
      <c r="M68" s="225"/>
    </row>
    <row r="69" spans="1:13" ht="12" customHeight="1" x14ac:dyDescent="0.2">
      <c r="A69" s="156"/>
      <c r="B69" s="223"/>
      <c r="C69" s="156"/>
      <c r="D69" s="157"/>
      <c r="E69" s="224"/>
      <c r="F69" s="145"/>
      <c r="G69" s="225"/>
      <c r="H69" s="225"/>
      <c r="I69" s="225"/>
      <c r="J69" s="225"/>
      <c r="K69" s="225"/>
      <c r="L69" s="225"/>
      <c r="M69" s="225"/>
    </row>
    <row r="70" spans="1:13" ht="12" customHeight="1" x14ac:dyDescent="0.2">
      <c r="A70" s="156"/>
      <c r="B70" s="223"/>
      <c r="C70" s="156"/>
      <c r="D70" s="157"/>
      <c r="E70" s="224"/>
      <c r="F70" s="145"/>
      <c r="G70" s="225"/>
      <c r="H70" s="225"/>
      <c r="I70" s="225"/>
      <c r="J70" s="225"/>
      <c r="K70" s="225"/>
      <c r="L70" s="225"/>
      <c r="M70" s="225"/>
    </row>
    <row r="71" spans="1:13" ht="12" customHeight="1" x14ac:dyDescent="0.2">
      <c r="A71" s="156"/>
      <c r="B71" s="223"/>
      <c r="C71" s="156"/>
      <c r="D71" s="157"/>
      <c r="E71" s="224"/>
      <c r="F71" s="145"/>
      <c r="G71" s="225"/>
      <c r="H71" s="225"/>
      <c r="I71" s="225"/>
      <c r="J71" s="225"/>
      <c r="K71" s="225"/>
      <c r="L71" s="225"/>
      <c r="M71" s="225"/>
    </row>
    <row r="72" spans="1:13" ht="12" customHeight="1" x14ac:dyDescent="0.2">
      <c r="A72" s="156"/>
      <c r="B72" s="223"/>
      <c r="C72" s="156"/>
      <c r="D72" s="157"/>
      <c r="E72" s="224"/>
      <c r="F72" s="145"/>
      <c r="G72" s="225"/>
      <c r="H72" s="225"/>
      <c r="I72" s="225"/>
      <c r="J72" s="225"/>
      <c r="K72" s="225"/>
      <c r="L72" s="225"/>
      <c r="M72" s="225"/>
    </row>
    <row r="73" spans="1:13" ht="12" customHeight="1" x14ac:dyDescent="0.2">
      <c r="A73" s="156"/>
      <c r="B73" s="223"/>
      <c r="C73" s="156"/>
      <c r="D73" s="157"/>
      <c r="E73" s="224"/>
      <c r="F73" s="145"/>
      <c r="G73" s="225"/>
      <c r="H73" s="225"/>
      <c r="I73" s="225"/>
      <c r="J73" s="225"/>
      <c r="K73" s="225"/>
      <c r="L73" s="225"/>
      <c r="M73" s="225"/>
    </row>
    <row r="74" spans="1:13" ht="12" customHeight="1" x14ac:dyDescent="0.2">
      <c r="A74" s="156"/>
      <c r="B74" s="223"/>
      <c r="C74" s="156"/>
      <c r="D74" s="157"/>
      <c r="E74" s="224"/>
      <c r="F74" s="145"/>
      <c r="G74" s="225"/>
      <c r="H74" s="225"/>
      <c r="I74" s="225"/>
      <c r="J74" s="225"/>
      <c r="K74" s="225"/>
      <c r="L74" s="225"/>
      <c r="M74" s="225"/>
    </row>
    <row r="75" spans="1:13" ht="12" customHeight="1" x14ac:dyDescent="0.2">
      <c r="A75" s="156"/>
      <c r="B75" s="223"/>
      <c r="C75" s="156"/>
      <c r="D75" s="157"/>
      <c r="E75" s="224"/>
      <c r="F75" s="145"/>
      <c r="G75" s="225"/>
      <c r="H75" s="225"/>
      <c r="I75" s="225"/>
      <c r="J75" s="225"/>
      <c r="K75" s="225"/>
      <c r="L75" s="225"/>
      <c r="M75" s="225"/>
    </row>
    <row r="76" spans="1:13" ht="12" customHeight="1" x14ac:dyDescent="0.2">
      <c r="A76" s="156"/>
      <c r="B76" s="223"/>
      <c r="C76" s="156"/>
      <c r="D76" s="157"/>
      <c r="E76" s="224"/>
      <c r="F76" s="145"/>
      <c r="G76" s="225"/>
      <c r="H76" s="225"/>
      <c r="I76" s="225"/>
      <c r="J76" s="225"/>
      <c r="K76" s="225"/>
      <c r="L76" s="225"/>
      <c r="M76" s="225"/>
    </row>
    <row r="77" spans="1:13" ht="12" customHeight="1" x14ac:dyDescent="0.2">
      <c r="A77" s="156"/>
      <c r="B77" s="223"/>
      <c r="C77" s="156"/>
      <c r="D77" s="157"/>
      <c r="E77" s="224"/>
      <c r="F77" s="145"/>
      <c r="G77" s="225"/>
      <c r="H77" s="225"/>
      <c r="I77" s="225"/>
      <c r="J77" s="225"/>
      <c r="K77" s="225"/>
      <c r="L77" s="225"/>
      <c r="M77" s="225"/>
    </row>
    <row r="78" spans="1:13" ht="12" customHeight="1" x14ac:dyDescent="0.2">
      <c r="A78" s="156"/>
      <c r="B78" s="223"/>
      <c r="C78" s="156"/>
      <c r="D78" s="157"/>
      <c r="E78" s="224"/>
      <c r="F78" s="145"/>
      <c r="G78" s="225"/>
      <c r="H78" s="225"/>
      <c r="I78" s="225"/>
      <c r="J78" s="225"/>
      <c r="K78" s="225"/>
      <c r="L78" s="225"/>
      <c r="M78" s="225"/>
    </row>
    <row r="79" spans="1:13" ht="12" customHeight="1" x14ac:dyDescent="0.2">
      <c r="A79" s="156"/>
      <c r="B79" s="223"/>
      <c r="C79" s="156"/>
      <c r="D79" s="157"/>
      <c r="E79" s="224"/>
      <c r="F79" s="145"/>
      <c r="G79" s="225"/>
      <c r="H79" s="225"/>
      <c r="I79" s="225"/>
      <c r="J79" s="225"/>
      <c r="K79" s="225"/>
      <c r="L79" s="225"/>
      <c r="M79" s="225"/>
    </row>
    <row r="80" spans="1:13" ht="12" customHeight="1" x14ac:dyDescent="0.2">
      <c r="A80" s="156"/>
      <c r="B80" s="223"/>
      <c r="C80" s="156"/>
      <c r="D80" s="157"/>
      <c r="E80" s="224"/>
      <c r="F80" s="145"/>
      <c r="G80" s="225"/>
      <c r="H80" s="225"/>
      <c r="I80" s="225"/>
      <c r="J80" s="225"/>
      <c r="K80" s="225"/>
      <c r="L80" s="225"/>
      <c r="M80" s="225"/>
    </row>
    <row r="81" spans="1:13" ht="12" customHeight="1" x14ac:dyDescent="0.2">
      <c r="A81" s="156"/>
      <c r="B81" s="223"/>
      <c r="C81" s="156"/>
      <c r="D81" s="157"/>
      <c r="E81" s="224"/>
      <c r="F81" s="145"/>
      <c r="G81" s="225"/>
      <c r="H81" s="225"/>
      <c r="I81" s="225"/>
      <c r="J81" s="225"/>
      <c r="K81" s="225"/>
      <c r="L81" s="225"/>
      <c r="M81" s="225"/>
    </row>
    <row r="82" spans="1:13" ht="12" customHeight="1" x14ac:dyDescent="0.2">
      <c r="A82" s="156"/>
      <c r="B82" s="223"/>
      <c r="C82" s="156"/>
      <c r="D82" s="157"/>
      <c r="E82" s="224"/>
      <c r="F82" s="145"/>
      <c r="G82" s="225"/>
      <c r="H82" s="225"/>
      <c r="I82" s="225"/>
      <c r="J82" s="225"/>
      <c r="K82" s="225"/>
      <c r="L82" s="225"/>
      <c r="M82" s="225"/>
    </row>
    <row r="83" spans="1:13" ht="12" customHeight="1" x14ac:dyDescent="0.2">
      <c r="A83" s="156"/>
      <c r="B83" s="223"/>
      <c r="C83" s="156"/>
      <c r="D83" s="157"/>
      <c r="E83" s="224"/>
      <c r="F83" s="145"/>
      <c r="G83" s="225"/>
      <c r="H83" s="225"/>
      <c r="I83" s="225"/>
      <c r="J83" s="225"/>
      <c r="K83" s="225"/>
      <c r="L83" s="225"/>
      <c r="M83" s="225"/>
    </row>
    <row r="84" spans="1:13" ht="12" customHeight="1" x14ac:dyDescent="0.2">
      <c r="A84" s="156"/>
      <c r="B84" s="223"/>
      <c r="C84" s="156"/>
      <c r="D84" s="157"/>
      <c r="E84" s="224"/>
      <c r="F84" s="145"/>
      <c r="G84" s="225"/>
      <c r="H84" s="225"/>
      <c r="I84" s="225"/>
      <c r="J84" s="225"/>
      <c r="K84" s="225"/>
      <c r="L84" s="225"/>
      <c r="M84" s="225"/>
    </row>
    <row r="85" spans="1:13" ht="12" customHeight="1" x14ac:dyDescent="0.2">
      <c r="A85" s="156"/>
      <c r="B85" s="223"/>
      <c r="C85" s="156"/>
      <c r="D85" s="157"/>
      <c r="E85" s="224"/>
      <c r="F85" s="145"/>
      <c r="G85" s="225"/>
      <c r="H85" s="225"/>
      <c r="I85" s="225"/>
      <c r="J85" s="225"/>
      <c r="K85" s="225"/>
      <c r="L85" s="225"/>
      <c r="M85" s="225"/>
    </row>
    <row r="86" spans="1:13" ht="12" customHeight="1" x14ac:dyDescent="0.2">
      <c r="A86" s="156"/>
      <c r="B86" s="223"/>
      <c r="C86" s="156"/>
      <c r="D86" s="157"/>
      <c r="E86" s="224"/>
      <c r="F86" s="145"/>
      <c r="G86" s="225"/>
      <c r="H86" s="225"/>
      <c r="I86" s="225"/>
      <c r="J86" s="225"/>
      <c r="K86" s="225"/>
      <c r="L86" s="225"/>
      <c r="M86" s="225"/>
    </row>
    <row r="87" spans="1:13" ht="12" customHeight="1" x14ac:dyDescent="0.2">
      <c r="A87" s="156"/>
      <c r="B87" s="223"/>
      <c r="C87" s="156"/>
      <c r="D87" s="157"/>
      <c r="E87" s="224"/>
      <c r="F87" s="145"/>
      <c r="G87" s="225"/>
      <c r="H87" s="225"/>
      <c r="I87" s="225"/>
      <c r="J87" s="225"/>
      <c r="K87" s="225"/>
      <c r="L87" s="225"/>
      <c r="M87" s="225"/>
    </row>
    <row r="88" spans="1:13" ht="12" customHeight="1" x14ac:dyDescent="0.2">
      <c r="A88" s="156"/>
      <c r="B88" s="223"/>
      <c r="C88" s="156"/>
      <c r="D88" s="157"/>
      <c r="E88" s="224"/>
      <c r="F88" s="145"/>
      <c r="G88" s="225"/>
      <c r="H88" s="225"/>
      <c r="I88" s="225"/>
      <c r="J88" s="225"/>
      <c r="K88" s="225"/>
      <c r="L88" s="225"/>
      <c r="M88" s="225"/>
    </row>
    <row r="89" spans="1:13" ht="12" customHeight="1" x14ac:dyDescent="0.2">
      <c r="A89" s="156"/>
      <c r="B89" s="223"/>
      <c r="C89" s="156"/>
      <c r="D89" s="157"/>
      <c r="E89" s="224"/>
      <c r="F89" s="145"/>
      <c r="G89" s="225"/>
      <c r="H89" s="225"/>
      <c r="I89" s="225"/>
      <c r="J89" s="225"/>
      <c r="K89" s="225"/>
      <c r="L89" s="225"/>
      <c r="M89" s="225"/>
    </row>
    <row r="90" spans="1:13" ht="12" customHeight="1" x14ac:dyDescent="0.2">
      <c r="A90" s="156"/>
      <c r="B90" s="223"/>
      <c r="C90" s="156"/>
      <c r="D90" s="157"/>
      <c r="E90" s="224"/>
      <c r="F90" s="145"/>
      <c r="G90" s="225"/>
      <c r="H90" s="225"/>
      <c r="I90" s="225"/>
      <c r="J90" s="225"/>
      <c r="K90" s="225"/>
      <c r="L90" s="225"/>
      <c r="M90" s="225"/>
    </row>
    <row r="91" spans="1:13" ht="12" customHeight="1" x14ac:dyDescent="0.2">
      <c r="A91" s="156"/>
      <c r="B91" s="223"/>
      <c r="C91" s="156"/>
      <c r="D91" s="157"/>
      <c r="E91" s="224"/>
      <c r="F91" s="145"/>
      <c r="G91" s="225"/>
      <c r="H91" s="225"/>
      <c r="I91" s="225"/>
      <c r="J91" s="225"/>
      <c r="K91" s="225"/>
      <c r="L91" s="225"/>
      <c r="M91" s="225"/>
    </row>
    <row r="92" spans="1:13" ht="12" customHeight="1" x14ac:dyDescent="0.2">
      <c r="A92" s="156"/>
      <c r="B92" s="223"/>
      <c r="C92" s="156"/>
      <c r="D92" s="157"/>
      <c r="E92" s="224"/>
      <c r="F92" s="145"/>
      <c r="G92" s="225"/>
      <c r="H92" s="225"/>
      <c r="I92" s="225"/>
      <c r="J92" s="225"/>
      <c r="K92" s="225"/>
      <c r="L92" s="225"/>
      <c r="M92" s="225"/>
    </row>
    <row r="93" spans="1:13" ht="12" customHeight="1" x14ac:dyDescent="0.2">
      <c r="A93" s="156"/>
      <c r="B93" s="223"/>
      <c r="C93" s="156"/>
      <c r="D93" s="157"/>
      <c r="E93" s="224"/>
      <c r="F93" s="145"/>
      <c r="G93" s="225"/>
      <c r="H93" s="225"/>
      <c r="I93" s="225"/>
      <c r="J93" s="225"/>
      <c r="K93" s="225"/>
      <c r="L93" s="225"/>
      <c r="M93" s="225"/>
    </row>
    <row r="94" spans="1:13" ht="12" customHeight="1" x14ac:dyDescent="0.2">
      <c r="A94" s="156"/>
      <c r="B94" s="223"/>
      <c r="C94" s="156"/>
      <c r="D94" s="157"/>
      <c r="E94" s="224"/>
      <c r="F94" s="145"/>
      <c r="G94" s="225"/>
      <c r="H94" s="225"/>
      <c r="I94" s="225"/>
      <c r="J94" s="225"/>
      <c r="K94" s="225"/>
      <c r="L94" s="225"/>
      <c r="M94" s="225"/>
    </row>
    <row r="95" spans="1:13" ht="12" customHeight="1" x14ac:dyDescent="0.2">
      <c r="A95" s="156"/>
      <c r="B95" s="223"/>
      <c r="C95" s="156"/>
      <c r="D95" s="157"/>
      <c r="E95" s="224"/>
      <c r="F95" s="145"/>
      <c r="G95" s="225"/>
      <c r="H95" s="225"/>
      <c r="I95" s="225"/>
      <c r="J95" s="225"/>
      <c r="K95" s="225"/>
      <c r="L95" s="225"/>
      <c r="M95" s="225"/>
    </row>
    <row r="96" spans="1:13" ht="12" customHeight="1" x14ac:dyDescent="0.2">
      <c r="A96" s="156"/>
      <c r="B96" s="223"/>
      <c r="C96" s="156"/>
      <c r="D96" s="157"/>
      <c r="E96" s="224"/>
      <c r="F96" s="145"/>
      <c r="G96" s="225"/>
      <c r="H96" s="225"/>
      <c r="I96" s="225"/>
      <c r="J96" s="225"/>
      <c r="K96" s="225"/>
      <c r="L96" s="225"/>
      <c r="M96" s="225"/>
    </row>
    <row r="97" spans="1:13" ht="12" customHeight="1" x14ac:dyDescent="0.2">
      <c r="A97" s="156"/>
      <c r="B97" s="223"/>
      <c r="C97" s="156"/>
      <c r="D97" s="157"/>
      <c r="E97" s="224"/>
      <c r="F97" s="145"/>
      <c r="G97" s="225"/>
      <c r="H97" s="225"/>
      <c r="I97" s="225"/>
      <c r="J97" s="225"/>
      <c r="K97" s="225"/>
      <c r="L97" s="225"/>
      <c r="M97" s="225"/>
    </row>
    <row r="98" spans="1:13" ht="12" customHeight="1" x14ac:dyDescent="0.2">
      <c r="A98" s="156"/>
      <c r="B98" s="223"/>
      <c r="C98" s="156"/>
      <c r="D98" s="157"/>
      <c r="E98" s="224"/>
      <c r="F98" s="145"/>
      <c r="G98" s="225"/>
      <c r="H98" s="225"/>
      <c r="I98" s="225"/>
      <c r="J98" s="225"/>
      <c r="K98" s="225"/>
      <c r="L98" s="225"/>
      <c r="M98" s="225"/>
    </row>
    <row r="99" spans="1:13" ht="12" customHeight="1" x14ac:dyDescent="0.2">
      <c r="A99" s="156"/>
      <c r="B99" s="223"/>
      <c r="C99" s="156"/>
      <c r="D99" s="157"/>
      <c r="E99" s="224"/>
      <c r="F99" s="145"/>
      <c r="G99" s="225"/>
      <c r="H99" s="225"/>
      <c r="I99" s="225"/>
      <c r="J99" s="225"/>
      <c r="K99" s="225"/>
      <c r="L99" s="225"/>
      <c r="M99" s="225"/>
    </row>
    <row r="100" spans="1:13" ht="12" customHeight="1" x14ac:dyDescent="0.2">
      <c r="A100" s="156"/>
      <c r="B100" s="223"/>
      <c r="C100" s="156"/>
      <c r="D100" s="157"/>
      <c r="E100" s="224"/>
      <c r="F100" s="145"/>
      <c r="G100" s="225"/>
      <c r="H100" s="225"/>
      <c r="I100" s="225"/>
      <c r="J100" s="225"/>
      <c r="K100" s="225"/>
      <c r="L100" s="225"/>
      <c r="M100" s="225"/>
    </row>
    <row r="101" spans="1:13" ht="12" customHeight="1" x14ac:dyDescent="0.2">
      <c r="A101" s="156"/>
      <c r="B101" s="223"/>
      <c r="C101" s="156"/>
      <c r="D101" s="157"/>
      <c r="E101" s="224"/>
      <c r="F101" s="145"/>
      <c r="G101" s="225"/>
      <c r="H101" s="225"/>
      <c r="I101" s="225"/>
      <c r="J101" s="225"/>
      <c r="K101" s="225"/>
      <c r="L101" s="225"/>
      <c r="M101" s="225"/>
    </row>
    <row r="102" spans="1:13" ht="12" customHeight="1" x14ac:dyDescent="0.2">
      <c r="A102" s="156"/>
      <c r="B102" s="223"/>
      <c r="C102" s="156"/>
      <c r="D102" s="157"/>
      <c r="E102" s="224"/>
      <c r="F102" s="145"/>
      <c r="G102" s="225"/>
      <c r="H102" s="225"/>
      <c r="I102" s="225"/>
      <c r="J102" s="225"/>
      <c r="K102" s="225"/>
      <c r="L102" s="225"/>
      <c r="M102" s="225"/>
    </row>
    <row r="103" spans="1:13" ht="12" customHeight="1" x14ac:dyDescent="0.2">
      <c r="A103" s="156"/>
      <c r="B103" s="223"/>
      <c r="C103" s="156"/>
      <c r="D103" s="157"/>
      <c r="E103" s="224"/>
      <c r="F103" s="145"/>
      <c r="G103" s="225"/>
      <c r="H103" s="225"/>
      <c r="I103" s="225"/>
      <c r="J103" s="225"/>
      <c r="K103" s="225"/>
      <c r="L103" s="225"/>
      <c r="M103" s="225"/>
    </row>
    <row r="104" spans="1:13" ht="12" customHeight="1" x14ac:dyDescent="0.2">
      <c r="A104" s="156"/>
      <c r="B104" s="223"/>
      <c r="C104" s="156"/>
      <c r="D104" s="157"/>
      <c r="E104" s="224"/>
      <c r="F104" s="145"/>
      <c r="G104" s="225"/>
      <c r="H104" s="225"/>
      <c r="I104" s="225"/>
      <c r="J104" s="225"/>
      <c r="K104" s="225"/>
      <c r="L104" s="225"/>
      <c r="M104" s="225"/>
    </row>
    <row r="105" spans="1:13" ht="12" customHeight="1" x14ac:dyDescent="0.2">
      <c r="A105" s="156"/>
      <c r="B105" s="223"/>
      <c r="C105" s="156"/>
      <c r="D105" s="157"/>
      <c r="E105" s="224"/>
      <c r="F105" s="145"/>
      <c r="G105" s="225"/>
      <c r="H105" s="225"/>
      <c r="I105" s="225"/>
      <c r="J105" s="225"/>
      <c r="K105" s="225"/>
      <c r="L105" s="225"/>
      <c r="M105" s="225"/>
    </row>
    <row r="106" spans="1:13" ht="12" customHeight="1" x14ac:dyDescent="0.2">
      <c r="A106" s="156"/>
      <c r="B106" s="223"/>
      <c r="C106" s="156"/>
      <c r="D106" s="157"/>
      <c r="E106" s="224"/>
      <c r="F106" s="145"/>
      <c r="G106" s="225"/>
      <c r="H106" s="225"/>
      <c r="I106" s="225"/>
      <c r="J106" s="225"/>
      <c r="K106" s="225"/>
      <c r="L106" s="225"/>
      <c r="M106" s="225"/>
    </row>
    <row r="107" spans="1:13" ht="12" customHeight="1" x14ac:dyDescent="0.2">
      <c r="A107" s="156"/>
      <c r="B107" s="223"/>
      <c r="C107" s="156"/>
      <c r="D107" s="157"/>
      <c r="E107" s="224"/>
      <c r="F107" s="145"/>
      <c r="G107" s="225"/>
      <c r="H107" s="225"/>
      <c r="I107" s="225"/>
      <c r="J107" s="225"/>
      <c r="K107" s="225"/>
      <c r="L107" s="225"/>
      <c r="M107" s="225"/>
    </row>
    <row r="108" spans="1:13" ht="12" customHeight="1" x14ac:dyDescent="0.2">
      <c r="A108" s="156"/>
      <c r="B108" s="223"/>
      <c r="C108" s="156"/>
      <c r="D108" s="157"/>
      <c r="E108" s="224"/>
      <c r="F108" s="145"/>
      <c r="G108" s="225"/>
      <c r="H108" s="225"/>
      <c r="I108" s="225"/>
      <c r="J108" s="225"/>
      <c r="K108" s="225"/>
      <c r="L108" s="225"/>
      <c r="M108" s="225"/>
    </row>
    <row r="109" spans="1:13" ht="12" customHeight="1" x14ac:dyDescent="0.2">
      <c r="A109" s="156"/>
      <c r="B109" s="223"/>
      <c r="C109" s="156"/>
      <c r="D109" s="157"/>
      <c r="E109" s="224"/>
      <c r="F109" s="145"/>
      <c r="G109" s="225"/>
      <c r="H109" s="225"/>
      <c r="I109" s="225"/>
      <c r="J109" s="225"/>
      <c r="K109" s="225"/>
      <c r="L109" s="225"/>
      <c r="M109" s="225"/>
    </row>
    <row r="110" spans="1:13" ht="12" customHeight="1" x14ac:dyDescent="0.2">
      <c r="A110" s="156"/>
      <c r="B110" s="223"/>
      <c r="C110" s="156"/>
      <c r="D110" s="157"/>
      <c r="E110" s="224"/>
      <c r="F110" s="145"/>
      <c r="G110" s="225"/>
      <c r="H110" s="225"/>
      <c r="I110" s="225"/>
      <c r="J110" s="225"/>
      <c r="K110" s="225"/>
      <c r="L110" s="225"/>
      <c r="M110" s="225"/>
    </row>
    <row r="111" spans="1:13" ht="12" customHeight="1" x14ac:dyDescent="0.2">
      <c r="A111" s="156"/>
      <c r="B111" s="223"/>
      <c r="C111" s="156"/>
      <c r="D111" s="157"/>
      <c r="E111" s="224"/>
      <c r="F111" s="145"/>
      <c r="G111" s="225"/>
      <c r="H111" s="225"/>
      <c r="I111" s="225"/>
      <c r="J111" s="225"/>
      <c r="K111" s="225"/>
      <c r="L111" s="225"/>
      <c r="M111" s="225"/>
    </row>
    <row r="112" spans="1:13" ht="12" customHeight="1" x14ac:dyDescent="0.2">
      <c r="A112" s="156"/>
      <c r="B112" s="223"/>
      <c r="C112" s="156"/>
      <c r="D112" s="157"/>
      <c r="E112" s="224"/>
      <c r="F112" s="145"/>
      <c r="G112" s="225"/>
      <c r="H112" s="225"/>
      <c r="I112" s="225"/>
      <c r="J112" s="225"/>
      <c r="K112" s="225"/>
      <c r="L112" s="225"/>
      <c r="M112" s="225"/>
    </row>
    <row r="113" spans="1:13" ht="12" customHeight="1" x14ac:dyDescent="0.2">
      <c r="A113" s="156"/>
      <c r="B113" s="223"/>
      <c r="C113" s="156"/>
      <c r="D113" s="157"/>
      <c r="E113" s="224"/>
      <c r="F113" s="145"/>
      <c r="G113" s="225"/>
      <c r="H113" s="225"/>
      <c r="I113" s="225"/>
      <c r="J113" s="225"/>
      <c r="K113" s="225"/>
      <c r="L113" s="225"/>
      <c r="M113" s="225"/>
    </row>
    <row r="114" spans="1:13" ht="12" customHeight="1" x14ac:dyDescent="0.2">
      <c r="A114" s="156"/>
      <c r="B114" s="223"/>
      <c r="C114" s="156"/>
      <c r="D114" s="157"/>
      <c r="E114" s="224"/>
      <c r="F114" s="145"/>
      <c r="G114" s="225"/>
      <c r="H114" s="225"/>
      <c r="I114" s="225"/>
      <c r="J114" s="225"/>
      <c r="K114" s="225"/>
      <c r="L114" s="225"/>
      <c r="M114" s="225"/>
    </row>
    <row r="115" spans="1:13" ht="12" customHeight="1" x14ac:dyDescent="0.2">
      <c r="A115" s="156"/>
      <c r="B115" s="223"/>
      <c r="C115" s="156"/>
      <c r="D115" s="157"/>
      <c r="E115" s="224"/>
      <c r="F115" s="145"/>
      <c r="G115" s="225"/>
      <c r="H115" s="225"/>
      <c r="I115" s="225"/>
      <c r="J115" s="225"/>
      <c r="K115" s="225"/>
      <c r="L115" s="225"/>
      <c r="M115" s="225"/>
    </row>
    <row r="116" spans="1:13" ht="12" customHeight="1" x14ac:dyDescent="0.2">
      <c r="A116" s="156"/>
      <c r="B116" s="223"/>
      <c r="C116" s="156"/>
      <c r="D116" s="157"/>
      <c r="E116" s="224"/>
      <c r="F116" s="145"/>
      <c r="G116" s="225"/>
      <c r="H116" s="225"/>
      <c r="I116" s="225"/>
      <c r="J116" s="225"/>
      <c r="K116" s="225"/>
      <c r="L116" s="225"/>
      <c r="M116" s="225"/>
    </row>
    <row r="117" spans="1:13" ht="12" customHeight="1" x14ac:dyDescent="0.2">
      <c r="A117" s="156"/>
      <c r="B117" s="223"/>
      <c r="C117" s="156"/>
      <c r="D117" s="157"/>
      <c r="E117" s="224"/>
      <c r="F117" s="145"/>
      <c r="G117" s="225"/>
      <c r="H117" s="225"/>
      <c r="I117" s="225"/>
      <c r="J117" s="225"/>
      <c r="K117" s="225"/>
      <c r="L117" s="225"/>
      <c r="M117" s="225"/>
    </row>
    <row r="118" spans="1:13" ht="12" customHeight="1" x14ac:dyDescent="0.2">
      <c r="A118" s="156"/>
      <c r="B118" s="223"/>
      <c r="C118" s="156"/>
      <c r="D118" s="157"/>
      <c r="E118" s="224"/>
      <c r="F118" s="145"/>
      <c r="G118" s="225"/>
      <c r="H118" s="225"/>
      <c r="I118" s="225"/>
      <c r="J118" s="225"/>
      <c r="K118" s="225"/>
      <c r="L118" s="225"/>
      <c r="M118" s="225"/>
    </row>
    <row r="119" spans="1:13" ht="12" customHeight="1" x14ac:dyDescent="0.2">
      <c r="A119" s="156"/>
      <c r="B119" s="223"/>
      <c r="C119" s="156"/>
      <c r="D119" s="157"/>
      <c r="E119" s="224"/>
      <c r="F119" s="145"/>
      <c r="G119" s="225"/>
      <c r="H119" s="225"/>
      <c r="I119" s="225"/>
      <c r="J119" s="225"/>
      <c r="K119" s="225"/>
      <c r="L119" s="225"/>
      <c r="M119" s="225"/>
    </row>
    <row r="120" spans="1:13" ht="12" customHeight="1" x14ac:dyDescent="0.2">
      <c r="A120" s="156"/>
      <c r="B120" s="223"/>
      <c r="C120" s="156"/>
      <c r="D120" s="157"/>
      <c r="E120" s="224"/>
      <c r="F120" s="145"/>
      <c r="G120" s="225"/>
      <c r="H120" s="225"/>
      <c r="I120" s="225"/>
      <c r="J120" s="225"/>
      <c r="K120" s="225"/>
      <c r="L120" s="225"/>
      <c r="M120" s="225"/>
    </row>
    <row r="121" spans="1:13" ht="12" customHeight="1" x14ac:dyDescent="0.2">
      <c r="A121" s="156"/>
      <c r="B121" s="223"/>
      <c r="C121" s="156"/>
      <c r="D121" s="157"/>
      <c r="E121" s="224"/>
      <c r="F121" s="145"/>
      <c r="G121" s="225"/>
      <c r="H121" s="225"/>
      <c r="I121" s="225"/>
      <c r="J121" s="225"/>
      <c r="K121" s="225"/>
      <c r="L121" s="225"/>
      <c r="M121" s="225"/>
    </row>
    <row r="122" spans="1:13" ht="12" customHeight="1" x14ac:dyDescent="0.2">
      <c r="A122" s="156"/>
      <c r="B122" s="223"/>
      <c r="C122" s="156"/>
      <c r="D122" s="157"/>
      <c r="E122" s="224"/>
      <c r="F122" s="145"/>
      <c r="G122" s="225"/>
      <c r="H122" s="225"/>
      <c r="I122" s="225"/>
      <c r="J122" s="225"/>
      <c r="K122" s="225"/>
      <c r="L122" s="225"/>
      <c r="M122" s="225"/>
    </row>
    <row r="123" spans="1:13" ht="12" customHeight="1" x14ac:dyDescent="0.2">
      <c r="A123" s="156"/>
      <c r="B123" s="223"/>
      <c r="C123" s="156"/>
      <c r="D123" s="157"/>
      <c r="E123" s="224"/>
      <c r="F123" s="145"/>
      <c r="G123" s="225"/>
      <c r="H123" s="225"/>
      <c r="I123" s="225"/>
      <c r="J123" s="225"/>
      <c r="K123" s="225"/>
      <c r="L123" s="225"/>
      <c r="M123" s="225"/>
    </row>
    <row r="124" spans="1:13" ht="12" customHeight="1" x14ac:dyDescent="0.2">
      <c r="A124" s="156"/>
      <c r="B124" s="223"/>
      <c r="C124" s="156"/>
      <c r="D124" s="157"/>
      <c r="E124" s="224"/>
      <c r="F124" s="145"/>
      <c r="G124" s="225"/>
      <c r="H124" s="225"/>
      <c r="I124" s="225"/>
      <c r="J124" s="225"/>
      <c r="K124" s="225"/>
      <c r="L124" s="225"/>
      <c r="M124" s="225"/>
    </row>
    <row r="125" spans="1:13" ht="12" customHeight="1" x14ac:dyDescent="0.2">
      <c r="A125" s="156"/>
      <c r="B125" s="223"/>
      <c r="C125" s="156"/>
      <c r="D125" s="157"/>
      <c r="E125" s="224"/>
      <c r="F125" s="145"/>
      <c r="G125" s="225"/>
      <c r="H125" s="225"/>
      <c r="I125" s="225"/>
      <c r="J125" s="225"/>
      <c r="K125" s="225"/>
      <c r="L125" s="225"/>
      <c r="M125" s="225"/>
    </row>
    <row r="126" spans="1:13" ht="12" customHeight="1" x14ac:dyDescent="0.2">
      <c r="A126" s="156"/>
      <c r="B126" s="223"/>
      <c r="C126" s="156"/>
      <c r="D126" s="157"/>
      <c r="E126" s="224"/>
      <c r="F126" s="145"/>
      <c r="G126" s="225"/>
      <c r="H126" s="225"/>
      <c r="I126" s="225"/>
      <c r="J126" s="225"/>
      <c r="K126" s="225"/>
      <c r="L126" s="225"/>
      <c r="M126" s="225"/>
    </row>
    <row r="127" spans="1:13" ht="12" customHeight="1" x14ac:dyDescent="0.2">
      <c r="A127" s="156"/>
      <c r="B127" s="223"/>
      <c r="C127" s="156"/>
      <c r="D127" s="157"/>
      <c r="E127" s="224"/>
      <c r="F127" s="145"/>
      <c r="G127" s="225"/>
      <c r="H127" s="225"/>
      <c r="I127" s="225"/>
      <c r="J127" s="225"/>
      <c r="K127" s="225"/>
      <c r="L127" s="225"/>
      <c r="M127" s="225"/>
    </row>
    <row r="128" spans="1:13" ht="12" customHeight="1" x14ac:dyDescent="0.2">
      <c r="A128" s="156"/>
      <c r="B128" s="223"/>
      <c r="C128" s="156"/>
      <c r="D128" s="157"/>
      <c r="E128" s="224"/>
      <c r="F128" s="145"/>
      <c r="G128" s="225"/>
      <c r="H128" s="225"/>
      <c r="I128" s="225"/>
      <c r="J128" s="225"/>
      <c r="K128" s="225"/>
      <c r="L128" s="225"/>
      <c r="M128" s="225"/>
    </row>
    <row r="129" spans="1:13" ht="12" customHeight="1" x14ac:dyDescent="0.2">
      <c r="A129" s="156"/>
      <c r="B129" s="223"/>
      <c r="C129" s="156"/>
      <c r="D129" s="157"/>
      <c r="E129" s="224"/>
      <c r="F129" s="145"/>
      <c r="G129" s="225"/>
      <c r="H129" s="225"/>
      <c r="I129" s="225"/>
      <c r="J129" s="225"/>
      <c r="K129" s="225"/>
      <c r="L129" s="225"/>
      <c r="M129" s="225"/>
    </row>
    <row r="130" spans="1:13" ht="12" customHeight="1" x14ac:dyDescent="0.2">
      <c r="A130" s="156"/>
      <c r="B130" s="223"/>
      <c r="C130" s="156"/>
      <c r="D130" s="157"/>
      <c r="E130" s="224"/>
      <c r="F130" s="145"/>
      <c r="G130" s="225"/>
      <c r="H130" s="225"/>
      <c r="I130" s="225"/>
      <c r="J130" s="225"/>
      <c r="K130" s="225"/>
      <c r="L130" s="225"/>
      <c r="M130" s="225"/>
    </row>
    <row r="131" spans="1:13" ht="12" customHeight="1" x14ac:dyDescent="0.2">
      <c r="A131" s="156"/>
      <c r="B131" s="223"/>
      <c r="C131" s="156"/>
      <c r="D131" s="157"/>
      <c r="E131" s="224"/>
      <c r="F131" s="145"/>
      <c r="G131" s="225"/>
      <c r="H131" s="225"/>
      <c r="I131" s="225"/>
      <c r="J131" s="225"/>
      <c r="K131" s="225"/>
      <c r="L131" s="225"/>
      <c r="M131" s="225"/>
    </row>
    <row r="132" spans="1:13" ht="12" customHeight="1" x14ac:dyDescent="0.2">
      <c r="A132" s="156"/>
      <c r="B132" s="223"/>
      <c r="C132" s="156"/>
      <c r="D132" s="157"/>
      <c r="E132" s="224"/>
      <c r="F132" s="145"/>
      <c r="G132" s="225"/>
      <c r="H132" s="225"/>
      <c r="I132" s="225"/>
      <c r="J132" s="225"/>
      <c r="K132" s="225"/>
      <c r="L132" s="225"/>
      <c r="M132" s="225"/>
    </row>
    <row r="133" spans="1:13" ht="12" customHeight="1" x14ac:dyDescent="0.2">
      <c r="A133" s="156"/>
      <c r="B133" s="223"/>
      <c r="C133" s="156"/>
      <c r="D133" s="157"/>
      <c r="E133" s="224"/>
      <c r="F133" s="145"/>
      <c r="G133" s="225"/>
      <c r="H133" s="225"/>
      <c r="I133" s="225"/>
      <c r="J133" s="225"/>
      <c r="K133" s="225"/>
      <c r="L133" s="225"/>
      <c r="M133" s="225"/>
    </row>
    <row r="134" spans="1:13" ht="12" customHeight="1" x14ac:dyDescent="0.2">
      <c r="A134" s="156"/>
      <c r="B134" s="223"/>
      <c r="C134" s="156"/>
      <c r="D134" s="157"/>
      <c r="E134" s="224"/>
      <c r="F134" s="145"/>
      <c r="G134" s="225"/>
      <c r="H134" s="225"/>
      <c r="I134" s="225"/>
      <c r="J134" s="225"/>
      <c r="K134" s="225"/>
      <c r="L134" s="225"/>
      <c r="M134" s="225"/>
    </row>
    <row r="135" spans="1:13" ht="12" customHeight="1" x14ac:dyDescent="0.2">
      <c r="A135" s="156"/>
      <c r="B135" s="223"/>
      <c r="C135" s="156"/>
      <c r="D135" s="157"/>
      <c r="E135" s="224"/>
      <c r="F135" s="145"/>
      <c r="G135" s="225"/>
      <c r="H135" s="225"/>
      <c r="I135" s="225"/>
      <c r="J135" s="225"/>
      <c r="K135" s="225"/>
      <c r="L135" s="225"/>
      <c r="M135" s="225"/>
    </row>
    <row r="136" spans="1:13" ht="12" customHeight="1" x14ac:dyDescent="0.2">
      <c r="A136" s="156"/>
      <c r="B136" s="223"/>
      <c r="C136" s="156"/>
      <c r="D136" s="157"/>
      <c r="E136" s="224"/>
      <c r="F136" s="145"/>
      <c r="G136" s="225"/>
      <c r="H136" s="225"/>
      <c r="I136" s="225"/>
      <c r="J136" s="225"/>
      <c r="K136" s="225"/>
      <c r="L136" s="225"/>
      <c r="M136" s="225"/>
    </row>
    <row r="137" spans="1:13" ht="12" customHeight="1" x14ac:dyDescent="0.2">
      <c r="A137" s="156"/>
      <c r="B137" s="223"/>
      <c r="C137" s="156"/>
      <c r="D137" s="157"/>
      <c r="E137" s="224"/>
      <c r="F137" s="145"/>
      <c r="G137" s="225"/>
      <c r="H137" s="225"/>
      <c r="I137" s="225"/>
      <c r="J137" s="225"/>
      <c r="K137" s="225"/>
      <c r="L137" s="225"/>
      <c r="M137" s="225"/>
    </row>
    <row r="138" spans="1:13" ht="12" customHeight="1" x14ac:dyDescent="0.2">
      <c r="A138" s="156"/>
      <c r="B138" s="223"/>
      <c r="C138" s="156"/>
      <c r="D138" s="157"/>
      <c r="E138" s="224"/>
      <c r="F138" s="145"/>
      <c r="G138" s="225"/>
      <c r="H138" s="225"/>
      <c r="I138" s="225"/>
      <c r="J138" s="225"/>
      <c r="K138" s="225"/>
      <c r="L138" s="225"/>
      <c r="M138" s="225"/>
    </row>
    <row r="139" spans="1:13" ht="12" customHeight="1" x14ac:dyDescent="0.2">
      <c r="A139" s="156"/>
      <c r="B139" s="223"/>
      <c r="C139" s="156"/>
      <c r="D139" s="157"/>
      <c r="E139" s="224"/>
      <c r="F139" s="145"/>
      <c r="G139" s="225"/>
      <c r="H139" s="225"/>
      <c r="I139" s="225"/>
      <c r="J139" s="225"/>
      <c r="K139" s="225"/>
      <c r="L139" s="225"/>
      <c r="M139" s="225"/>
    </row>
    <row r="140" spans="1:13" ht="12" customHeight="1" x14ac:dyDescent="0.2">
      <c r="A140" s="156"/>
      <c r="B140" s="223"/>
      <c r="C140" s="156"/>
      <c r="D140" s="157"/>
      <c r="E140" s="224"/>
      <c r="F140" s="145"/>
      <c r="G140" s="225"/>
      <c r="H140" s="225"/>
      <c r="I140" s="225"/>
      <c r="J140" s="225"/>
      <c r="K140" s="225"/>
      <c r="L140" s="225"/>
      <c r="M140" s="225"/>
    </row>
    <row r="141" spans="1:13" ht="12" customHeight="1" x14ac:dyDescent="0.2">
      <c r="A141" s="156"/>
      <c r="B141" s="223"/>
      <c r="C141" s="156"/>
      <c r="D141" s="157"/>
      <c r="E141" s="224"/>
      <c r="F141" s="145"/>
      <c r="G141" s="225"/>
      <c r="H141" s="225"/>
      <c r="I141" s="225"/>
      <c r="J141" s="225"/>
      <c r="K141" s="225"/>
      <c r="L141" s="225"/>
      <c r="M141" s="225"/>
    </row>
    <row r="142" spans="1:13" ht="12" customHeight="1" x14ac:dyDescent="0.2">
      <c r="A142" s="156"/>
      <c r="B142" s="223"/>
      <c r="C142" s="156"/>
      <c r="D142" s="157"/>
      <c r="E142" s="224"/>
      <c r="F142" s="145"/>
      <c r="G142" s="225"/>
      <c r="H142" s="225"/>
      <c r="I142" s="225"/>
      <c r="J142" s="225"/>
      <c r="K142" s="225"/>
      <c r="L142" s="225"/>
      <c r="M142" s="225"/>
    </row>
    <row r="143" spans="1:13" ht="12" customHeight="1" x14ac:dyDescent="0.2">
      <c r="A143" s="156"/>
      <c r="B143" s="223"/>
      <c r="C143" s="156"/>
      <c r="D143" s="157"/>
      <c r="E143" s="224"/>
      <c r="F143" s="145"/>
      <c r="G143" s="225"/>
      <c r="H143" s="225"/>
      <c r="I143" s="225"/>
      <c r="J143" s="225"/>
      <c r="K143" s="225"/>
      <c r="L143" s="225"/>
      <c r="M143" s="225"/>
    </row>
    <row r="144" spans="1:13" ht="12" customHeight="1" x14ac:dyDescent="0.2">
      <c r="A144" s="156"/>
      <c r="B144" s="223"/>
      <c r="C144" s="156"/>
      <c r="D144" s="157"/>
      <c r="E144" s="224"/>
      <c r="F144" s="145"/>
      <c r="G144" s="225"/>
      <c r="H144" s="225"/>
      <c r="I144" s="225"/>
      <c r="J144" s="225"/>
      <c r="K144" s="225"/>
      <c r="L144" s="225"/>
      <c r="M144" s="225"/>
    </row>
    <row r="145" spans="1:13" ht="12" customHeight="1" x14ac:dyDescent="0.2">
      <c r="A145" s="156"/>
      <c r="B145" s="223"/>
      <c r="C145" s="156"/>
      <c r="D145" s="157"/>
      <c r="E145" s="224"/>
      <c r="F145" s="145"/>
      <c r="G145" s="225"/>
      <c r="H145" s="225"/>
      <c r="I145" s="225"/>
      <c r="J145" s="225"/>
      <c r="K145" s="225"/>
      <c r="L145" s="225"/>
      <c r="M145" s="225"/>
    </row>
    <row r="146" spans="1:13" ht="12" customHeight="1" x14ac:dyDescent="0.2">
      <c r="A146" s="156"/>
      <c r="B146" s="223"/>
      <c r="C146" s="156"/>
      <c r="D146" s="157"/>
      <c r="E146" s="224"/>
      <c r="F146" s="145"/>
      <c r="G146" s="225"/>
      <c r="H146" s="225"/>
      <c r="I146" s="225"/>
      <c r="J146" s="225"/>
      <c r="K146" s="225"/>
      <c r="L146" s="225"/>
      <c r="M146" s="225"/>
    </row>
    <row r="147" spans="1:13" ht="12" customHeight="1" x14ac:dyDescent="0.2">
      <c r="A147" s="156"/>
      <c r="B147" s="223"/>
      <c r="C147" s="156"/>
      <c r="D147" s="157"/>
      <c r="E147" s="224"/>
      <c r="F147" s="145"/>
      <c r="G147" s="225"/>
      <c r="H147" s="225"/>
      <c r="I147" s="225"/>
      <c r="J147" s="225"/>
      <c r="K147" s="225"/>
      <c r="L147" s="225"/>
      <c r="M147" s="225"/>
    </row>
    <row r="148" spans="1:13" ht="12" customHeight="1" x14ac:dyDescent="0.2">
      <c r="A148" s="156"/>
      <c r="B148" s="223"/>
      <c r="C148" s="156"/>
      <c r="D148" s="157"/>
      <c r="E148" s="224"/>
      <c r="F148" s="145"/>
      <c r="G148" s="225"/>
      <c r="H148" s="225"/>
      <c r="I148" s="225"/>
      <c r="J148" s="225"/>
      <c r="K148" s="225"/>
      <c r="L148" s="225"/>
      <c r="M148" s="225"/>
    </row>
    <row r="149" spans="1:13" ht="12" customHeight="1" x14ac:dyDescent="0.2">
      <c r="A149" s="156"/>
      <c r="B149" s="223"/>
      <c r="C149" s="156"/>
      <c r="D149" s="157"/>
      <c r="E149" s="224"/>
      <c r="F149" s="145"/>
      <c r="G149" s="225"/>
      <c r="H149" s="225"/>
      <c r="I149" s="225"/>
      <c r="J149" s="225"/>
      <c r="K149" s="225"/>
      <c r="L149" s="225"/>
      <c r="M149" s="225"/>
    </row>
    <row r="150" spans="1:13" ht="12" customHeight="1" x14ac:dyDescent="0.2">
      <c r="A150" s="156"/>
      <c r="B150" s="223"/>
      <c r="C150" s="156"/>
      <c r="D150" s="157"/>
      <c r="E150" s="224"/>
      <c r="F150" s="145"/>
      <c r="G150" s="225"/>
      <c r="H150" s="225"/>
      <c r="I150" s="225"/>
      <c r="J150" s="225"/>
      <c r="K150" s="225"/>
      <c r="L150" s="225"/>
      <c r="M150" s="225"/>
    </row>
    <row r="151" spans="1:13" ht="12" customHeight="1" x14ac:dyDescent="0.2">
      <c r="A151" s="156"/>
      <c r="B151" s="223"/>
      <c r="C151" s="156"/>
      <c r="D151" s="157"/>
      <c r="E151" s="224"/>
      <c r="F151" s="145"/>
      <c r="G151" s="225"/>
      <c r="H151" s="225"/>
      <c r="I151" s="225"/>
      <c r="J151" s="225"/>
      <c r="K151" s="225"/>
      <c r="L151" s="225"/>
      <c r="M151" s="225"/>
    </row>
    <row r="152" spans="1:13" ht="12" customHeight="1" x14ac:dyDescent="0.2">
      <c r="A152" s="156"/>
      <c r="B152" s="223"/>
      <c r="C152" s="156"/>
      <c r="D152" s="157"/>
      <c r="E152" s="224"/>
      <c r="F152" s="145"/>
      <c r="G152" s="225"/>
      <c r="H152" s="225"/>
      <c r="I152" s="225"/>
      <c r="J152" s="225"/>
      <c r="K152" s="225"/>
      <c r="L152" s="225"/>
      <c r="M152" s="225"/>
    </row>
    <row r="153" spans="1:13" ht="12" customHeight="1" x14ac:dyDescent="0.2">
      <c r="A153" s="156"/>
      <c r="B153" s="223"/>
      <c r="C153" s="156"/>
      <c r="D153" s="157"/>
      <c r="E153" s="224"/>
      <c r="F153" s="145"/>
      <c r="G153" s="225"/>
      <c r="H153" s="225"/>
      <c r="I153" s="225"/>
      <c r="J153" s="225"/>
      <c r="K153" s="225"/>
      <c r="L153" s="225"/>
      <c r="M153" s="225"/>
    </row>
    <row r="154" spans="1:13" ht="12" customHeight="1" x14ac:dyDescent="0.2">
      <c r="A154" s="156"/>
      <c r="B154" s="223"/>
      <c r="C154" s="156"/>
      <c r="D154" s="157"/>
      <c r="E154" s="224"/>
      <c r="F154" s="145"/>
      <c r="G154" s="225"/>
      <c r="H154" s="225"/>
      <c r="I154" s="225"/>
      <c r="J154" s="225"/>
      <c r="K154" s="225"/>
      <c r="L154" s="225"/>
      <c r="M154" s="225"/>
    </row>
    <row r="155" spans="1:13" ht="12" customHeight="1" x14ac:dyDescent="0.2">
      <c r="A155" s="156"/>
      <c r="B155" s="223"/>
      <c r="C155" s="156"/>
      <c r="D155" s="157"/>
      <c r="E155" s="224"/>
      <c r="F155" s="145"/>
      <c r="G155" s="225"/>
      <c r="H155" s="225"/>
      <c r="I155" s="225"/>
      <c r="J155" s="225"/>
      <c r="K155" s="225"/>
      <c r="L155" s="225"/>
      <c r="M155" s="225"/>
    </row>
    <row r="156" spans="1:13" ht="12" customHeight="1" x14ac:dyDescent="0.2">
      <c r="A156" s="156"/>
      <c r="B156" s="223"/>
      <c r="C156" s="156"/>
      <c r="D156" s="157"/>
      <c r="E156" s="224"/>
      <c r="F156" s="145"/>
      <c r="G156" s="225"/>
      <c r="H156" s="225"/>
      <c r="I156" s="225"/>
      <c r="J156" s="225"/>
      <c r="K156" s="225"/>
      <c r="L156" s="225"/>
      <c r="M156" s="225"/>
    </row>
    <row r="157" spans="1:13" ht="12" customHeight="1" x14ac:dyDescent="0.2">
      <c r="A157" s="156"/>
      <c r="B157" s="223"/>
      <c r="C157" s="156"/>
      <c r="D157" s="157"/>
      <c r="E157" s="224"/>
      <c r="F157" s="145"/>
      <c r="G157" s="225"/>
      <c r="H157" s="225"/>
      <c r="I157" s="225"/>
      <c r="J157" s="225"/>
      <c r="K157" s="225"/>
      <c r="L157" s="225"/>
      <c r="M157" s="225"/>
    </row>
    <row r="158" spans="1:13" ht="12" customHeight="1" x14ac:dyDescent="0.2">
      <c r="A158" s="156"/>
      <c r="B158" s="223"/>
      <c r="C158" s="156"/>
      <c r="D158" s="157"/>
      <c r="E158" s="224"/>
      <c r="F158" s="145"/>
      <c r="G158" s="225"/>
      <c r="H158" s="225"/>
      <c r="I158" s="225"/>
      <c r="J158" s="225"/>
      <c r="K158" s="225"/>
      <c r="L158" s="225"/>
      <c r="M158" s="225"/>
    </row>
    <row r="159" spans="1:13" ht="12" customHeight="1" x14ac:dyDescent="0.2">
      <c r="A159" s="156"/>
      <c r="B159" s="223"/>
      <c r="C159" s="156"/>
      <c r="D159" s="157"/>
      <c r="E159" s="224"/>
      <c r="F159" s="145"/>
      <c r="G159" s="225"/>
      <c r="H159" s="225"/>
      <c r="I159" s="225"/>
      <c r="J159" s="225"/>
      <c r="K159" s="225"/>
      <c r="L159" s="225"/>
      <c r="M159" s="225"/>
    </row>
    <row r="160" spans="1:13" ht="12" customHeight="1" x14ac:dyDescent="0.2">
      <c r="A160" s="156"/>
      <c r="B160" s="223"/>
      <c r="C160" s="156"/>
      <c r="D160" s="157"/>
      <c r="E160" s="224"/>
      <c r="F160" s="145"/>
      <c r="G160" s="225"/>
      <c r="H160" s="225"/>
      <c r="I160" s="225"/>
      <c r="J160" s="225"/>
      <c r="K160" s="225"/>
      <c r="L160" s="225"/>
      <c r="M160" s="225"/>
    </row>
    <row r="161" spans="1:13" ht="12" customHeight="1" x14ac:dyDescent="0.2">
      <c r="A161" s="156"/>
      <c r="B161" s="223"/>
      <c r="C161" s="156"/>
      <c r="D161" s="157"/>
      <c r="E161" s="224"/>
      <c r="F161" s="145"/>
      <c r="G161" s="225"/>
      <c r="H161" s="225"/>
      <c r="I161" s="225"/>
      <c r="J161" s="225"/>
      <c r="K161" s="225"/>
      <c r="L161" s="225"/>
      <c r="M161" s="225"/>
    </row>
    <row r="162" spans="1:13" ht="12" customHeight="1" x14ac:dyDescent="0.2">
      <c r="A162" s="156"/>
      <c r="B162" s="223"/>
      <c r="C162" s="156"/>
      <c r="D162" s="157"/>
      <c r="E162" s="224"/>
      <c r="F162" s="145"/>
      <c r="G162" s="225"/>
      <c r="H162" s="225"/>
      <c r="I162" s="225"/>
      <c r="J162" s="225"/>
      <c r="K162" s="225"/>
      <c r="L162" s="225"/>
      <c r="M162" s="225"/>
    </row>
    <row r="163" spans="1:13" ht="12" customHeight="1" x14ac:dyDescent="0.2">
      <c r="A163" s="156"/>
      <c r="B163" s="223"/>
      <c r="C163" s="156"/>
      <c r="D163" s="157"/>
      <c r="E163" s="224"/>
      <c r="F163" s="145"/>
      <c r="G163" s="225"/>
      <c r="H163" s="225"/>
      <c r="I163" s="225"/>
      <c r="J163" s="225"/>
      <c r="K163" s="225"/>
      <c r="L163" s="225"/>
      <c r="M163" s="225"/>
    </row>
    <row r="164" spans="1:13" ht="12" customHeight="1" x14ac:dyDescent="0.2">
      <c r="A164" s="156"/>
      <c r="B164" s="223"/>
      <c r="C164" s="156"/>
      <c r="D164" s="157"/>
      <c r="E164" s="224"/>
      <c r="F164" s="145"/>
      <c r="G164" s="225"/>
      <c r="H164" s="225"/>
      <c r="I164" s="225"/>
      <c r="J164" s="225"/>
      <c r="K164" s="225"/>
      <c r="L164" s="225"/>
      <c r="M164" s="225"/>
    </row>
    <row r="165" spans="1:13" ht="12" customHeight="1" x14ac:dyDescent="0.2">
      <c r="A165" s="156"/>
      <c r="B165" s="223"/>
      <c r="C165" s="156"/>
      <c r="D165" s="157"/>
      <c r="E165" s="224"/>
      <c r="F165" s="145"/>
      <c r="G165" s="225"/>
      <c r="H165" s="225"/>
      <c r="I165" s="225"/>
      <c r="J165" s="225"/>
      <c r="K165" s="225"/>
      <c r="L165" s="225"/>
      <c r="M165" s="225"/>
    </row>
    <row r="166" spans="1:13" ht="12" customHeight="1" x14ac:dyDescent="0.2">
      <c r="A166" s="156"/>
      <c r="B166" s="223"/>
      <c r="C166" s="156"/>
      <c r="D166" s="157"/>
      <c r="E166" s="224"/>
      <c r="F166" s="145"/>
      <c r="G166" s="225"/>
      <c r="H166" s="225"/>
      <c r="I166" s="225"/>
      <c r="J166" s="225"/>
      <c r="K166" s="225"/>
      <c r="L166" s="225"/>
      <c r="M166" s="225"/>
    </row>
    <row r="167" spans="1:13" ht="12" customHeight="1" x14ac:dyDescent="0.2">
      <c r="A167" s="156"/>
      <c r="B167" s="223"/>
      <c r="C167" s="156"/>
      <c r="D167" s="157"/>
      <c r="E167" s="224"/>
      <c r="F167" s="145"/>
      <c r="G167" s="225"/>
      <c r="H167" s="225"/>
      <c r="I167" s="225"/>
      <c r="J167" s="225"/>
      <c r="K167" s="225"/>
      <c r="L167" s="225"/>
      <c r="M167" s="225"/>
    </row>
    <row r="168" spans="1:13" ht="12" customHeight="1" x14ac:dyDescent="0.2">
      <c r="A168" s="156"/>
      <c r="B168" s="223"/>
      <c r="C168" s="156"/>
      <c r="D168" s="157"/>
      <c r="E168" s="224"/>
      <c r="F168" s="145"/>
      <c r="G168" s="225"/>
      <c r="H168" s="225"/>
      <c r="I168" s="225"/>
      <c r="J168" s="225"/>
      <c r="K168" s="225"/>
      <c r="L168" s="225"/>
      <c r="M168" s="225"/>
    </row>
    <row r="169" spans="1:13" ht="12" customHeight="1" x14ac:dyDescent="0.2">
      <c r="A169" s="156"/>
      <c r="B169" s="223"/>
      <c r="C169" s="156"/>
      <c r="D169" s="157"/>
      <c r="E169" s="224"/>
      <c r="F169" s="145"/>
      <c r="G169" s="225"/>
      <c r="H169" s="225"/>
      <c r="I169" s="225"/>
      <c r="J169" s="225"/>
      <c r="K169" s="225"/>
      <c r="L169" s="225"/>
      <c r="M169" s="225"/>
    </row>
    <row r="170" spans="1:13" ht="12" customHeight="1" x14ac:dyDescent="0.2">
      <c r="A170" s="156"/>
      <c r="B170" s="223"/>
      <c r="C170" s="156"/>
      <c r="D170" s="157"/>
      <c r="E170" s="224"/>
      <c r="F170" s="145"/>
      <c r="G170" s="225"/>
      <c r="H170" s="225"/>
      <c r="I170" s="225"/>
      <c r="J170" s="225"/>
      <c r="K170" s="225"/>
      <c r="L170" s="225"/>
      <c r="M170" s="225"/>
    </row>
    <row r="171" spans="1:13" ht="12" customHeight="1" x14ac:dyDescent="0.2">
      <c r="A171" s="156"/>
      <c r="B171" s="223"/>
      <c r="C171" s="156"/>
      <c r="D171" s="157"/>
      <c r="E171" s="224"/>
      <c r="F171" s="145"/>
      <c r="G171" s="225"/>
      <c r="H171" s="225"/>
      <c r="I171" s="225"/>
      <c r="J171" s="225"/>
      <c r="K171" s="225"/>
      <c r="L171" s="225"/>
      <c r="M171" s="225"/>
    </row>
    <row r="172" spans="1:13" ht="12" customHeight="1" x14ac:dyDescent="0.2">
      <c r="A172" s="156"/>
      <c r="B172" s="223"/>
      <c r="C172" s="156"/>
      <c r="D172" s="157"/>
      <c r="E172" s="224"/>
      <c r="F172" s="145"/>
      <c r="G172" s="225"/>
      <c r="H172" s="225"/>
      <c r="I172" s="225"/>
      <c r="J172" s="225"/>
      <c r="K172" s="225"/>
      <c r="L172" s="225"/>
      <c r="M172" s="225"/>
    </row>
    <row r="173" spans="1:13" ht="12" customHeight="1" x14ac:dyDescent="0.2">
      <c r="A173" s="156"/>
      <c r="B173" s="223"/>
      <c r="C173" s="156"/>
      <c r="D173" s="157"/>
      <c r="E173" s="224"/>
      <c r="F173" s="145"/>
      <c r="G173" s="225"/>
      <c r="H173" s="225"/>
      <c r="I173" s="225"/>
      <c r="J173" s="225"/>
      <c r="K173" s="225"/>
      <c r="L173" s="225"/>
      <c r="M173" s="225"/>
    </row>
    <row r="174" spans="1:13" ht="12" customHeight="1" x14ac:dyDescent="0.2">
      <c r="A174" s="156"/>
      <c r="B174" s="223"/>
      <c r="C174" s="156"/>
      <c r="D174" s="157"/>
      <c r="E174" s="224"/>
      <c r="F174" s="145"/>
      <c r="G174" s="225"/>
      <c r="H174" s="225"/>
      <c r="I174" s="225"/>
      <c r="J174" s="225"/>
      <c r="K174" s="225"/>
      <c r="L174" s="225"/>
      <c r="M174" s="225"/>
    </row>
    <row r="175" spans="1:13" ht="12" customHeight="1" x14ac:dyDescent="0.2">
      <c r="A175" s="156"/>
      <c r="B175" s="223"/>
      <c r="C175" s="156"/>
      <c r="D175" s="157"/>
      <c r="E175" s="224"/>
      <c r="F175" s="145"/>
      <c r="G175" s="225"/>
      <c r="H175" s="225"/>
      <c r="I175" s="225"/>
      <c r="J175" s="225"/>
      <c r="K175" s="225"/>
      <c r="L175" s="225"/>
      <c r="M175" s="225"/>
    </row>
    <row r="176" spans="1:13" ht="12" customHeight="1" x14ac:dyDescent="0.2">
      <c r="A176" s="156"/>
      <c r="B176" s="223"/>
      <c r="C176" s="156"/>
      <c r="D176" s="157"/>
      <c r="E176" s="224"/>
      <c r="F176" s="145"/>
      <c r="G176" s="225"/>
      <c r="H176" s="225"/>
      <c r="I176" s="225"/>
      <c r="J176" s="225"/>
      <c r="K176" s="225"/>
      <c r="L176" s="225"/>
      <c r="M176" s="225"/>
    </row>
    <row r="177" spans="1:13" ht="12" customHeight="1" x14ac:dyDescent="0.2">
      <c r="A177" s="156"/>
      <c r="B177" s="223"/>
      <c r="C177" s="156"/>
      <c r="D177" s="157"/>
      <c r="E177" s="224"/>
      <c r="F177" s="145"/>
      <c r="G177" s="225"/>
      <c r="H177" s="225"/>
      <c r="I177" s="225"/>
      <c r="J177" s="225"/>
      <c r="K177" s="225"/>
      <c r="L177" s="225"/>
      <c r="M177" s="225"/>
    </row>
    <row r="178" spans="1:13" ht="12" customHeight="1" x14ac:dyDescent="0.2">
      <c r="A178" s="156"/>
      <c r="B178" s="223"/>
      <c r="C178" s="156"/>
      <c r="D178" s="157"/>
      <c r="E178" s="224"/>
      <c r="F178" s="145"/>
      <c r="G178" s="225"/>
      <c r="H178" s="225"/>
      <c r="I178" s="225"/>
      <c r="J178" s="225"/>
      <c r="K178" s="225"/>
      <c r="L178" s="225"/>
      <c r="M178" s="225"/>
    </row>
    <row r="179" spans="1:13" ht="12" customHeight="1" x14ac:dyDescent="0.2">
      <c r="A179" s="156"/>
      <c r="B179" s="223"/>
      <c r="C179" s="156"/>
      <c r="D179" s="157"/>
      <c r="E179" s="224"/>
      <c r="F179" s="145"/>
      <c r="G179" s="225"/>
      <c r="H179" s="225"/>
      <c r="I179" s="225"/>
      <c r="J179" s="225"/>
      <c r="K179" s="225"/>
      <c r="L179" s="225"/>
      <c r="M179" s="225"/>
    </row>
    <row r="180" spans="1:13" ht="12" customHeight="1" x14ac:dyDescent="0.2">
      <c r="A180" s="156"/>
      <c r="B180" s="223"/>
      <c r="C180" s="156"/>
      <c r="D180" s="157"/>
      <c r="E180" s="224"/>
      <c r="F180" s="145"/>
      <c r="G180" s="225"/>
      <c r="H180" s="225"/>
      <c r="I180" s="225"/>
      <c r="J180" s="225"/>
      <c r="K180" s="225"/>
      <c r="L180" s="225"/>
      <c r="M180" s="225"/>
    </row>
    <row r="181" spans="1:13" ht="12" customHeight="1" x14ac:dyDescent="0.2">
      <c r="A181" s="156"/>
      <c r="B181" s="223"/>
      <c r="C181" s="156"/>
      <c r="D181" s="157"/>
      <c r="E181" s="224"/>
      <c r="F181" s="145"/>
      <c r="G181" s="225"/>
      <c r="H181" s="225"/>
      <c r="I181" s="225"/>
      <c r="J181" s="225"/>
      <c r="K181" s="225"/>
      <c r="L181" s="225"/>
      <c r="M181" s="225"/>
    </row>
    <row r="182" spans="1:13" ht="12" customHeight="1" x14ac:dyDescent="0.2">
      <c r="A182" s="156"/>
      <c r="B182" s="223"/>
      <c r="C182" s="156"/>
      <c r="D182" s="157"/>
      <c r="E182" s="224"/>
      <c r="F182" s="145"/>
      <c r="G182" s="225"/>
      <c r="H182" s="225"/>
      <c r="I182" s="225"/>
      <c r="J182" s="225"/>
      <c r="K182" s="225"/>
      <c r="L182" s="225"/>
      <c r="M182" s="225"/>
    </row>
    <row r="183" spans="1:13" ht="12" customHeight="1" x14ac:dyDescent="0.2">
      <c r="A183" s="156"/>
      <c r="B183" s="223"/>
      <c r="C183" s="156"/>
      <c r="D183" s="157"/>
      <c r="E183" s="224"/>
      <c r="F183" s="145"/>
      <c r="G183" s="225"/>
      <c r="H183" s="225"/>
      <c r="I183" s="225"/>
      <c r="J183" s="225"/>
      <c r="K183" s="225"/>
      <c r="L183" s="225"/>
      <c r="M183" s="225"/>
    </row>
    <row r="184" spans="1:13" ht="12" customHeight="1" x14ac:dyDescent="0.2">
      <c r="A184" s="156"/>
      <c r="B184" s="223"/>
      <c r="C184" s="156"/>
      <c r="D184" s="157"/>
      <c r="E184" s="224"/>
      <c r="F184" s="145"/>
      <c r="G184" s="225"/>
      <c r="H184" s="225"/>
      <c r="I184" s="225"/>
      <c r="J184" s="225"/>
      <c r="K184" s="225"/>
      <c r="L184" s="225"/>
      <c r="M184" s="225"/>
    </row>
    <row r="185" spans="1:13" ht="12" customHeight="1" x14ac:dyDescent="0.2">
      <c r="A185" s="156"/>
      <c r="B185" s="223"/>
      <c r="C185" s="156"/>
      <c r="D185" s="157"/>
      <c r="E185" s="224"/>
      <c r="F185" s="145"/>
      <c r="G185" s="225"/>
      <c r="H185" s="225"/>
      <c r="I185" s="225"/>
      <c r="J185" s="225"/>
      <c r="K185" s="225"/>
      <c r="L185" s="225"/>
      <c r="M185" s="225"/>
    </row>
    <row r="186" spans="1:13" ht="12" customHeight="1" x14ac:dyDescent="0.2">
      <c r="A186" s="156"/>
      <c r="B186" s="223"/>
      <c r="C186" s="156"/>
      <c r="D186" s="157"/>
      <c r="E186" s="224"/>
      <c r="F186" s="145"/>
      <c r="G186" s="225"/>
      <c r="H186" s="225"/>
      <c r="I186" s="225"/>
      <c r="J186" s="225"/>
      <c r="K186" s="225"/>
      <c r="L186" s="225"/>
      <c r="M186" s="225"/>
    </row>
    <row r="187" spans="1:13" ht="12" customHeight="1" x14ac:dyDescent="0.2">
      <c r="A187" s="156"/>
      <c r="B187" s="223"/>
      <c r="C187" s="156"/>
      <c r="D187" s="157"/>
      <c r="E187" s="224"/>
      <c r="F187" s="145"/>
      <c r="G187" s="225"/>
      <c r="H187" s="225"/>
      <c r="I187" s="225"/>
      <c r="J187" s="225"/>
      <c r="K187" s="225"/>
      <c r="L187" s="225"/>
      <c r="M187" s="225"/>
    </row>
    <row r="188" spans="1:13" ht="12" customHeight="1" x14ac:dyDescent="0.2">
      <c r="A188" s="156"/>
      <c r="B188" s="223"/>
      <c r="C188" s="156"/>
      <c r="D188" s="157"/>
      <c r="E188" s="224"/>
      <c r="F188" s="145"/>
      <c r="G188" s="225"/>
      <c r="H188" s="225"/>
      <c r="I188" s="225"/>
      <c r="J188" s="225"/>
      <c r="K188" s="225"/>
      <c r="L188" s="225"/>
      <c r="M188" s="225"/>
    </row>
    <row r="189" spans="1:13" ht="12" customHeight="1" x14ac:dyDescent="0.2">
      <c r="A189" s="156"/>
      <c r="B189" s="223"/>
      <c r="C189" s="156"/>
      <c r="D189" s="157"/>
      <c r="E189" s="224"/>
      <c r="F189" s="145"/>
      <c r="G189" s="225"/>
      <c r="H189" s="225"/>
      <c r="I189" s="225"/>
      <c r="J189" s="225"/>
      <c r="K189" s="225"/>
      <c r="L189" s="225"/>
      <c r="M189" s="225"/>
    </row>
    <row r="190" spans="1:13" ht="12" customHeight="1" x14ac:dyDescent="0.2">
      <c r="A190" s="156"/>
      <c r="B190" s="223"/>
      <c r="C190" s="156"/>
      <c r="D190" s="157"/>
      <c r="E190" s="224"/>
      <c r="F190" s="145"/>
      <c r="G190" s="225"/>
      <c r="H190" s="225"/>
      <c r="I190" s="225"/>
      <c r="J190" s="225"/>
      <c r="K190" s="225"/>
      <c r="L190" s="225"/>
      <c r="M190" s="225"/>
    </row>
    <row r="191" spans="1:13" ht="12" customHeight="1" x14ac:dyDescent="0.2">
      <c r="A191" s="156"/>
      <c r="B191" s="223"/>
      <c r="C191" s="156"/>
      <c r="D191" s="157"/>
      <c r="E191" s="224"/>
      <c r="F191" s="145"/>
      <c r="G191" s="225"/>
      <c r="H191" s="225"/>
      <c r="I191" s="225"/>
      <c r="J191" s="225"/>
      <c r="K191" s="225"/>
      <c r="L191" s="225"/>
      <c r="M191" s="225"/>
    </row>
    <row r="192" spans="1:13" ht="12" customHeight="1" x14ac:dyDescent="0.2">
      <c r="A192" s="156"/>
      <c r="B192" s="223"/>
      <c r="C192" s="156"/>
      <c r="D192" s="157"/>
      <c r="E192" s="224"/>
      <c r="F192" s="145"/>
      <c r="G192" s="225"/>
      <c r="H192" s="225"/>
      <c r="I192" s="225"/>
      <c r="J192" s="225"/>
      <c r="K192" s="225"/>
      <c r="L192" s="225"/>
      <c r="M192" s="225"/>
    </row>
    <row r="193" spans="1:13" ht="12" customHeight="1" x14ac:dyDescent="0.2">
      <c r="A193" s="156"/>
      <c r="B193" s="223"/>
      <c r="C193" s="156"/>
      <c r="D193" s="157"/>
      <c r="E193" s="224"/>
      <c r="F193" s="145"/>
      <c r="G193" s="225"/>
      <c r="H193" s="225"/>
      <c r="I193" s="225"/>
      <c r="J193" s="225"/>
      <c r="K193" s="225"/>
      <c r="L193" s="225"/>
      <c r="M193" s="225"/>
    </row>
    <row r="194" spans="1:13" ht="12" customHeight="1" x14ac:dyDescent="0.2">
      <c r="A194" s="156"/>
      <c r="B194" s="223"/>
      <c r="C194" s="156"/>
      <c r="D194" s="157"/>
      <c r="E194" s="224"/>
      <c r="F194" s="145"/>
      <c r="G194" s="225"/>
      <c r="H194" s="225"/>
      <c r="I194" s="225"/>
      <c r="J194" s="225"/>
      <c r="K194" s="225"/>
      <c r="L194" s="225"/>
      <c r="M194" s="225"/>
    </row>
    <row r="195" spans="1:13" ht="12" customHeight="1" x14ac:dyDescent="0.2">
      <c r="A195" s="156"/>
      <c r="B195" s="223"/>
      <c r="C195" s="156"/>
      <c r="D195" s="157"/>
      <c r="E195" s="224"/>
      <c r="F195" s="145"/>
      <c r="G195" s="225"/>
      <c r="H195" s="225"/>
      <c r="I195" s="225"/>
      <c r="J195" s="225"/>
      <c r="K195" s="225"/>
      <c r="L195" s="225"/>
      <c r="M195" s="225"/>
    </row>
    <row r="196" spans="1:13" ht="12" customHeight="1" x14ac:dyDescent="0.2">
      <c r="A196" s="156"/>
      <c r="B196" s="223"/>
      <c r="C196" s="156"/>
      <c r="D196" s="157"/>
      <c r="E196" s="224"/>
      <c r="F196" s="145"/>
      <c r="G196" s="225"/>
      <c r="H196" s="225"/>
      <c r="I196" s="225"/>
      <c r="J196" s="225"/>
      <c r="K196" s="225"/>
      <c r="L196" s="225"/>
      <c r="M196" s="225"/>
    </row>
    <row r="197" spans="1:13" ht="12" customHeight="1" x14ac:dyDescent="0.2">
      <c r="A197" s="156"/>
      <c r="B197" s="223"/>
      <c r="C197" s="156"/>
      <c r="D197" s="157"/>
      <c r="E197" s="224"/>
      <c r="F197" s="145"/>
      <c r="G197" s="225"/>
      <c r="H197" s="225"/>
      <c r="I197" s="225"/>
      <c r="J197" s="225"/>
      <c r="K197" s="225"/>
      <c r="L197" s="225"/>
      <c r="M197" s="225"/>
    </row>
    <row r="198" spans="1:13" ht="12" customHeight="1" x14ac:dyDescent="0.2">
      <c r="A198" s="156"/>
      <c r="B198" s="223"/>
      <c r="C198" s="156"/>
      <c r="D198" s="157"/>
      <c r="E198" s="224"/>
      <c r="F198" s="145"/>
      <c r="G198" s="225"/>
      <c r="H198" s="225"/>
      <c r="I198" s="225"/>
      <c r="J198" s="225"/>
      <c r="K198" s="225"/>
      <c r="L198" s="225"/>
      <c r="M198" s="225"/>
    </row>
    <row r="199" spans="1:13" ht="12" customHeight="1" x14ac:dyDescent="0.2">
      <c r="A199" s="156"/>
      <c r="B199" s="223"/>
      <c r="C199" s="156"/>
      <c r="D199" s="157"/>
      <c r="E199" s="224"/>
      <c r="F199" s="145"/>
      <c r="G199" s="225"/>
      <c r="H199" s="225"/>
      <c r="I199" s="225"/>
      <c r="J199" s="225"/>
      <c r="K199" s="225"/>
      <c r="L199" s="225"/>
      <c r="M199" s="225"/>
    </row>
    <row r="200" spans="1:13" ht="12" customHeight="1" x14ac:dyDescent="0.2">
      <c r="A200" s="156"/>
      <c r="B200" s="223"/>
      <c r="C200" s="156"/>
      <c r="D200" s="157"/>
      <c r="E200" s="224"/>
      <c r="F200" s="145"/>
      <c r="G200" s="225"/>
      <c r="H200" s="225"/>
      <c r="I200" s="225"/>
      <c r="J200" s="225"/>
      <c r="K200" s="225"/>
      <c r="L200" s="225"/>
      <c r="M200" s="225"/>
    </row>
    <row r="201" spans="1:13" ht="12" customHeight="1" x14ac:dyDescent="0.2">
      <c r="A201" s="156"/>
      <c r="B201" s="223"/>
      <c r="C201" s="156"/>
      <c r="D201" s="157"/>
      <c r="E201" s="224"/>
      <c r="F201" s="145"/>
      <c r="G201" s="225"/>
      <c r="H201" s="225"/>
      <c r="I201" s="225"/>
      <c r="J201" s="225"/>
      <c r="K201" s="225"/>
      <c r="L201" s="225"/>
      <c r="M201" s="225"/>
    </row>
    <row r="202" spans="1:13" ht="12" customHeight="1" x14ac:dyDescent="0.2">
      <c r="A202" s="156"/>
      <c r="B202" s="223"/>
      <c r="C202" s="156"/>
      <c r="D202" s="157"/>
      <c r="E202" s="224"/>
      <c r="F202" s="145"/>
      <c r="G202" s="225"/>
      <c r="H202" s="225"/>
      <c r="I202" s="225"/>
      <c r="J202" s="225"/>
      <c r="K202" s="225"/>
      <c r="L202" s="225"/>
      <c r="M202" s="225"/>
    </row>
    <row r="203" spans="1:13" ht="12" customHeight="1" x14ac:dyDescent="0.2">
      <c r="A203" s="156"/>
      <c r="B203" s="223"/>
      <c r="C203" s="156"/>
      <c r="D203" s="157"/>
      <c r="E203" s="224"/>
      <c r="F203" s="145"/>
      <c r="G203" s="225"/>
      <c r="H203" s="225"/>
      <c r="I203" s="225"/>
      <c r="J203" s="225"/>
      <c r="K203" s="225"/>
      <c r="L203" s="225"/>
      <c r="M203" s="225"/>
    </row>
    <row r="204" spans="1:13" ht="12" customHeight="1" x14ac:dyDescent="0.2">
      <c r="A204" s="156"/>
      <c r="B204" s="223"/>
      <c r="C204" s="156"/>
      <c r="D204" s="157"/>
      <c r="E204" s="224"/>
      <c r="F204" s="145"/>
      <c r="G204" s="225"/>
      <c r="H204" s="225"/>
      <c r="I204" s="225"/>
      <c r="J204" s="225"/>
      <c r="K204" s="225"/>
      <c r="L204" s="225"/>
      <c r="M204" s="225"/>
    </row>
    <row r="205" spans="1:13" ht="12" customHeight="1" x14ac:dyDescent="0.2">
      <c r="A205" s="156"/>
      <c r="B205" s="223"/>
      <c r="C205" s="156"/>
      <c r="D205" s="157"/>
      <c r="E205" s="224"/>
      <c r="F205" s="145"/>
      <c r="G205" s="225"/>
      <c r="H205" s="225"/>
      <c r="I205" s="225"/>
      <c r="J205" s="225"/>
      <c r="K205" s="225"/>
      <c r="L205" s="225"/>
      <c r="M205" s="225"/>
    </row>
    <row r="206" spans="1:13" ht="12" customHeight="1" x14ac:dyDescent="0.2">
      <c r="A206" s="156"/>
      <c r="B206" s="223"/>
      <c r="C206" s="156"/>
      <c r="D206" s="157"/>
      <c r="E206" s="224"/>
      <c r="F206" s="145"/>
      <c r="G206" s="225"/>
      <c r="H206" s="225"/>
      <c r="I206" s="225"/>
      <c r="J206" s="225"/>
      <c r="K206" s="225"/>
      <c r="L206" s="225"/>
      <c r="M206" s="225"/>
    </row>
    <row r="207" spans="1:13" ht="12" customHeight="1" x14ac:dyDescent="0.2">
      <c r="A207" s="156"/>
      <c r="B207" s="223"/>
      <c r="C207" s="156"/>
      <c r="D207" s="157"/>
      <c r="E207" s="224"/>
      <c r="F207" s="145"/>
      <c r="G207" s="225"/>
      <c r="H207" s="225"/>
      <c r="I207" s="225"/>
      <c r="J207" s="225"/>
      <c r="K207" s="225"/>
      <c r="L207" s="225"/>
      <c r="M207" s="225"/>
    </row>
    <row r="208" spans="1:13" ht="12" customHeight="1" x14ac:dyDescent="0.2">
      <c r="A208" s="156"/>
      <c r="B208" s="223"/>
      <c r="C208" s="156"/>
      <c r="D208" s="157"/>
      <c r="E208" s="224"/>
      <c r="F208" s="145"/>
      <c r="G208" s="225"/>
      <c r="H208" s="225"/>
      <c r="I208" s="225"/>
      <c r="J208" s="225"/>
      <c r="K208" s="225"/>
      <c r="L208" s="225"/>
      <c r="M208" s="225"/>
    </row>
    <row r="209" spans="1:13" ht="12" customHeight="1" x14ac:dyDescent="0.2">
      <c r="A209" s="156"/>
      <c r="B209" s="223"/>
      <c r="C209" s="156"/>
      <c r="D209" s="157"/>
      <c r="E209" s="224"/>
      <c r="F209" s="145"/>
      <c r="G209" s="225"/>
      <c r="H209" s="225"/>
      <c r="I209" s="225"/>
      <c r="J209" s="225"/>
      <c r="K209" s="225"/>
      <c r="L209" s="225"/>
      <c r="M209" s="225"/>
    </row>
    <row r="210" spans="1:13" ht="12" customHeight="1" x14ac:dyDescent="0.2">
      <c r="A210" s="156"/>
      <c r="B210" s="223"/>
      <c r="C210" s="156"/>
      <c r="D210" s="157"/>
      <c r="E210" s="224"/>
      <c r="F210" s="145"/>
      <c r="G210" s="225"/>
      <c r="H210" s="225"/>
      <c r="I210" s="225"/>
      <c r="J210" s="225"/>
      <c r="K210" s="225"/>
      <c r="L210" s="225"/>
      <c r="M210" s="225"/>
    </row>
    <row r="211" spans="1:13" ht="12" customHeight="1" x14ac:dyDescent="0.2">
      <c r="A211" s="156"/>
      <c r="B211" s="223"/>
      <c r="C211" s="156"/>
      <c r="D211" s="157"/>
      <c r="E211" s="224"/>
      <c r="F211" s="145"/>
      <c r="G211" s="225"/>
      <c r="H211" s="225"/>
      <c r="I211" s="225"/>
      <c r="J211" s="225"/>
      <c r="K211" s="225"/>
      <c r="L211" s="225"/>
      <c r="M211" s="225"/>
    </row>
    <row r="212" spans="1:13" ht="12" customHeight="1" x14ac:dyDescent="0.2">
      <c r="A212" s="156"/>
      <c r="B212" s="223"/>
      <c r="C212" s="156"/>
      <c r="D212" s="157"/>
      <c r="E212" s="224"/>
      <c r="F212" s="145"/>
      <c r="G212" s="225"/>
      <c r="H212" s="225"/>
      <c r="I212" s="225"/>
      <c r="J212" s="225"/>
      <c r="K212" s="225"/>
      <c r="L212" s="225"/>
      <c r="M212" s="225"/>
    </row>
    <row r="213" spans="1:13" ht="12" customHeight="1" x14ac:dyDescent="0.2">
      <c r="A213" s="156"/>
      <c r="B213" s="223"/>
      <c r="C213" s="156"/>
      <c r="D213" s="157"/>
      <c r="E213" s="224"/>
      <c r="F213" s="145"/>
      <c r="G213" s="225"/>
      <c r="H213" s="225"/>
      <c r="I213" s="225"/>
      <c r="J213" s="225"/>
      <c r="K213" s="225"/>
      <c r="L213" s="225"/>
      <c r="M213" s="225"/>
    </row>
    <row r="214" spans="1:13" ht="12" customHeight="1" x14ac:dyDescent="0.2">
      <c r="A214" s="156"/>
      <c r="B214" s="223"/>
      <c r="C214" s="156"/>
      <c r="D214" s="157"/>
      <c r="E214" s="224"/>
      <c r="F214" s="145"/>
      <c r="G214" s="225"/>
      <c r="H214" s="225"/>
      <c r="I214" s="225"/>
      <c r="J214" s="225"/>
      <c r="K214" s="225"/>
      <c r="L214" s="225"/>
      <c r="M214" s="225"/>
    </row>
    <row r="215" spans="1:13" ht="12" customHeight="1" x14ac:dyDescent="0.2">
      <c r="A215" s="156"/>
      <c r="B215" s="223"/>
      <c r="C215" s="156"/>
      <c r="D215" s="157"/>
      <c r="E215" s="224"/>
      <c r="F215" s="145"/>
      <c r="G215" s="225"/>
      <c r="H215" s="225"/>
      <c r="I215" s="225"/>
      <c r="J215" s="225"/>
      <c r="K215" s="225"/>
      <c r="L215" s="225"/>
      <c r="M215" s="225"/>
    </row>
    <row r="216" spans="1:13" ht="12" customHeight="1" x14ac:dyDescent="0.2">
      <c r="A216" s="156"/>
      <c r="B216" s="223"/>
      <c r="C216" s="156"/>
      <c r="D216" s="157"/>
      <c r="E216" s="224"/>
      <c r="F216" s="145"/>
      <c r="G216" s="225"/>
      <c r="H216" s="225"/>
      <c r="I216" s="225"/>
      <c r="J216" s="225"/>
      <c r="K216" s="225"/>
      <c r="L216" s="225"/>
      <c r="M216" s="225"/>
    </row>
    <row r="217" spans="1:13" ht="12" customHeight="1" x14ac:dyDescent="0.2">
      <c r="A217" s="156"/>
      <c r="B217" s="223"/>
      <c r="C217" s="156"/>
      <c r="D217" s="157"/>
      <c r="E217" s="224"/>
      <c r="F217" s="145"/>
      <c r="G217" s="225"/>
      <c r="H217" s="225"/>
      <c r="I217" s="225"/>
      <c r="J217" s="225"/>
      <c r="K217" s="225"/>
      <c r="L217" s="225"/>
      <c r="M217" s="225"/>
    </row>
    <row r="218" spans="1:13" ht="12" customHeight="1" x14ac:dyDescent="0.2">
      <c r="A218" s="156"/>
      <c r="B218" s="223"/>
      <c r="C218" s="156"/>
      <c r="D218" s="157"/>
      <c r="E218" s="224"/>
      <c r="F218" s="145"/>
      <c r="G218" s="225"/>
      <c r="H218" s="225"/>
      <c r="I218" s="225"/>
      <c r="J218" s="225"/>
      <c r="K218" s="225"/>
      <c r="L218" s="225"/>
      <c r="M218" s="225"/>
    </row>
    <row r="219" spans="1:13" ht="12" customHeight="1" x14ac:dyDescent="0.2">
      <c r="A219" s="156"/>
      <c r="B219" s="223"/>
      <c r="C219" s="156"/>
      <c r="D219" s="157"/>
      <c r="E219" s="224"/>
      <c r="F219" s="145"/>
      <c r="G219" s="225"/>
      <c r="H219" s="225"/>
      <c r="I219" s="225"/>
      <c r="J219" s="225"/>
      <c r="K219" s="225"/>
      <c r="L219" s="225"/>
      <c r="M219" s="225"/>
    </row>
    <row r="220" spans="1:13" ht="12" customHeight="1" x14ac:dyDescent="0.2">
      <c r="A220" s="156"/>
      <c r="B220" s="223"/>
      <c r="C220" s="156"/>
      <c r="D220" s="157"/>
      <c r="E220" s="224"/>
      <c r="F220" s="145"/>
      <c r="G220" s="225"/>
      <c r="H220" s="225"/>
      <c r="I220" s="225"/>
      <c r="J220" s="225"/>
      <c r="K220" s="225"/>
      <c r="L220" s="225"/>
      <c r="M220" s="225"/>
    </row>
    <row r="221" spans="1:13" ht="12" customHeight="1" x14ac:dyDescent="0.2">
      <c r="A221" s="156"/>
      <c r="B221" s="223"/>
      <c r="C221" s="156"/>
      <c r="D221" s="157"/>
      <c r="E221" s="224"/>
      <c r="F221" s="145"/>
      <c r="G221" s="225"/>
      <c r="H221" s="225"/>
      <c r="I221" s="225"/>
      <c r="J221" s="225"/>
      <c r="K221" s="225"/>
      <c r="L221" s="225"/>
      <c r="M221" s="225"/>
    </row>
    <row r="222" spans="1:13" ht="12" customHeight="1" x14ac:dyDescent="0.2">
      <c r="A222" s="156"/>
      <c r="B222" s="223"/>
      <c r="C222" s="156"/>
      <c r="D222" s="157"/>
      <c r="E222" s="224"/>
      <c r="F222" s="145"/>
      <c r="G222" s="225"/>
      <c r="H222" s="225"/>
      <c r="I222" s="225"/>
      <c r="J222" s="225"/>
      <c r="K222" s="225"/>
      <c r="L222" s="225"/>
      <c r="M222" s="225"/>
    </row>
    <row r="223" spans="1:13" ht="12" customHeight="1" x14ac:dyDescent="0.2">
      <c r="A223" s="156"/>
      <c r="B223" s="223"/>
      <c r="C223" s="156"/>
      <c r="D223" s="157"/>
      <c r="E223" s="224"/>
      <c r="F223" s="145"/>
      <c r="G223" s="225"/>
      <c r="H223" s="225"/>
      <c r="I223" s="225"/>
      <c r="J223" s="225"/>
      <c r="K223" s="225"/>
      <c r="L223" s="225"/>
      <c r="M223" s="225"/>
    </row>
    <row r="224" spans="1:13" ht="12" customHeight="1" x14ac:dyDescent="0.2">
      <c r="A224" s="156"/>
      <c r="B224" s="223"/>
      <c r="C224" s="156"/>
      <c r="D224" s="157"/>
      <c r="E224" s="224"/>
      <c r="F224" s="145"/>
      <c r="G224" s="225"/>
      <c r="H224" s="225"/>
      <c r="I224" s="225"/>
      <c r="J224" s="225"/>
      <c r="K224" s="225"/>
      <c r="L224" s="225"/>
      <c r="M224" s="225"/>
    </row>
    <row r="225" spans="1:13" ht="12" customHeight="1" x14ac:dyDescent="0.2">
      <c r="A225" s="156"/>
      <c r="B225" s="223"/>
      <c r="C225" s="156"/>
      <c r="D225" s="157"/>
      <c r="E225" s="224"/>
      <c r="F225" s="145"/>
      <c r="G225" s="225"/>
      <c r="H225" s="225"/>
      <c r="I225" s="225"/>
      <c r="J225" s="225"/>
      <c r="K225" s="225"/>
      <c r="L225" s="225"/>
      <c r="M225" s="225"/>
    </row>
    <row r="226" spans="1:13" ht="12" customHeight="1" x14ac:dyDescent="0.2">
      <c r="A226" s="156"/>
      <c r="B226" s="223"/>
      <c r="C226" s="156"/>
      <c r="D226" s="157"/>
      <c r="E226" s="224"/>
      <c r="F226" s="145"/>
      <c r="G226" s="225"/>
      <c r="H226" s="225"/>
      <c r="I226" s="225"/>
      <c r="J226" s="225"/>
      <c r="K226" s="225"/>
      <c r="L226" s="225"/>
      <c r="M226" s="225"/>
    </row>
    <row r="227" spans="1:13" ht="12" customHeight="1" x14ac:dyDescent="0.2">
      <c r="A227" s="156"/>
      <c r="B227" s="223"/>
      <c r="C227" s="156"/>
      <c r="D227" s="157"/>
      <c r="E227" s="224"/>
      <c r="F227" s="145"/>
      <c r="G227" s="225"/>
      <c r="H227" s="225"/>
      <c r="I227" s="225"/>
      <c r="J227" s="225"/>
      <c r="K227" s="225"/>
      <c r="L227" s="225"/>
      <c r="M227" s="225"/>
    </row>
    <row r="228" spans="1:13" ht="12" customHeight="1" x14ac:dyDescent="0.2">
      <c r="A228" s="156"/>
      <c r="B228" s="223"/>
      <c r="C228" s="156"/>
      <c r="D228" s="157"/>
      <c r="E228" s="224"/>
      <c r="F228" s="145"/>
      <c r="G228" s="225"/>
      <c r="H228" s="225"/>
      <c r="I228" s="225"/>
      <c r="J228" s="225"/>
      <c r="K228" s="225"/>
      <c r="L228" s="225"/>
      <c r="M228" s="225"/>
    </row>
    <row r="229" spans="1:13" ht="12" customHeight="1" x14ac:dyDescent="0.2">
      <c r="A229" s="156"/>
      <c r="B229" s="223"/>
      <c r="C229" s="156"/>
      <c r="D229" s="157"/>
      <c r="E229" s="224"/>
      <c r="F229" s="145"/>
      <c r="G229" s="225"/>
      <c r="H229" s="225"/>
      <c r="I229" s="225"/>
      <c r="J229" s="225"/>
      <c r="K229" s="225"/>
      <c r="L229" s="225"/>
      <c r="M229" s="225"/>
    </row>
    <row r="230" spans="1:13" ht="12" customHeight="1" x14ac:dyDescent="0.2">
      <c r="A230" s="156"/>
      <c r="B230" s="223"/>
      <c r="C230" s="156"/>
      <c r="D230" s="157"/>
      <c r="E230" s="224"/>
      <c r="F230" s="145"/>
      <c r="G230" s="225"/>
      <c r="H230" s="225"/>
      <c r="I230" s="225"/>
      <c r="J230" s="225"/>
      <c r="K230" s="225"/>
      <c r="L230" s="225"/>
      <c r="M230" s="225"/>
    </row>
    <row r="231" spans="1:13" ht="12" customHeight="1" x14ac:dyDescent="0.2">
      <c r="A231" s="156"/>
      <c r="B231" s="223"/>
      <c r="C231" s="156"/>
      <c r="D231" s="157"/>
      <c r="E231" s="224"/>
      <c r="F231" s="145"/>
      <c r="G231" s="225"/>
      <c r="H231" s="225"/>
      <c r="I231" s="225"/>
      <c r="J231" s="225"/>
      <c r="K231" s="225"/>
      <c r="L231" s="225"/>
      <c r="M231" s="225"/>
    </row>
    <row r="232" spans="1:13" ht="12" customHeight="1" x14ac:dyDescent="0.2">
      <c r="A232" s="156"/>
      <c r="B232" s="223"/>
      <c r="C232" s="156"/>
      <c r="D232" s="157"/>
      <c r="E232" s="224"/>
      <c r="F232" s="145"/>
      <c r="G232" s="225"/>
      <c r="H232" s="225"/>
      <c r="I232" s="225"/>
      <c r="J232" s="225"/>
      <c r="K232" s="225"/>
      <c r="L232" s="225"/>
      <c r="M232" s="225"/>
    </row>
    <row r="233" spans="1:13" ht="12" customHeight="1" x14ac:dyDescent="0.2">
      <c r="A233" s="156"/>
      <c r="B233" s="223"/>
      <c r="C233" s="156"/>
      <c r="D233" s="157"/>
      <c r="E233" s="224"/>
      <c r="F233" s="145"/>
      <c r="G233" s="225"/>
      <c r="H233" s="225"/>
      <c r="I233" s="225"/>
      <c r="J233" s="225"/>
      <c r="K233" s="225"/>
      <c r="L233" s="225"/>
      <c r="M233" s="225"/>
    </row>
    <row r="234" spans="1:13" ht="12" customHeight="1" x14ac:dyDescent="0.2">
      <c r="A234" s="156"/>
      <c r="B234" s="223"/>
      <c r="C234" s="156"/>
      <c r="D234" s="157"/>
      <c r="E234" s="224"/>
      <c r="F234" s="145"/>
      <c r="G234" s="225"/>
      <c r="H234" s="225"/>
      <c r="I234" s="225"/>
      <c r="J234" s="225"/>
      <c r="K234" s="225"/>
      <c r="L234" s="225"/>
      <c r="M234" s="225"/>
    </row>
    <row r="235" spans="1:13" ht="12" customHeight="1" x14ac:dyDescent="0.2">
      <c r="A235" s="156"/>
      <c r="B235" s="223"/>
      <c r="C235" s="156"/>
      <c r="D235" s="157"/>
      <c r="E235" s="224"/>
      <c r="F235" s="145"/>
      <c r="G235" s="225"/>
      <c r="H235" s="225"/>
      <c r="I235" s="225"/>
      <c r="J235" s="225"/>
      <c r="K235" s="225"/>
      <c r="L235" s="225"/>
      <c r="M235" s="225"/>
    </row>
    <row r="236" spans="1:13" ht="12" customHeight="1" x14ac:dyDescent="0.2">
      <c r="A236" s="156"/>
      <c r="B236" s="223"/>
      <c r="C236" s="156"/>
      <c r="D236" s="157"/>
      <c r="E236" s="224"/>
      <c r="F236" s="145"/>
      <c r="G236" s="225"/>
      <c r="H236" s="225"/>
      <c r="I236" s="225"/>
      <c r="J236" s="225"/>
      <c r="K236" s="225"/>
      <c r="L236" s="225"/>
      <c r="M236" s="225"/>
    </row>
    <row r="237" spans="1:13" ht="12" customHeight="1" x14ac:dyDescent="0.2">
      <c r="A237" s="156"/>
      <c r="B237" s="223"/>
      <c r="C237" s="156"/>
      <c r="D237" s="157"/>
      <c r="E237" s="224"/>
      <c r="F237" s="145"/>
      <c r="G237" s="225"/>
      <c r="H237" s="225"/>
      <c r="I237" s="225"/>
      <c r="J237" s="225"/>
      <c r="K237" s="225"/>
      <c r="L237" s="225"/>
      <c r="M237" s="225"/>
    </row>
    <row r="238" spans="1:13" ht="12" customHeight="1" x14ac:dyDescent="0.2">
      <c r="A238" s="156"/>
      <c r="B238" s="223"/>
      <c r="C238" s="156"/>
      <c r="D238" s="157"/>
      <c r="E238" s="224"/>
      <c r="F238" s="145"/>
      <c r="G238" s="225"/>
      <c r="H238" s="225"/>
      <c r="I238" s="225"/>
      <c r="J238" s="225"/>
      <c r="K238" s="225"/>
      <c r="L238" s="225"/>
      <c r="M238" s="225"/>
    </row>
    <row r="239" spans="1:13" ht="12" customHeight="1" x14ac:dyDescent="0.2">
      <c r="A239" s="156"/>
      <c r="B239" s="223"/>
      <c r="C239" s="156"/>
      <c r="D239" s="157"/>
      <c r="E239" s="224"/>
      <c r="F239" s="145"/>
      <c r="G239" s="225"/>
      <c r="H239" s="225"/>
      <c r="I239" s="225"/>
      <c r="J239" s="225"/>
      <c r="K239" s="225"/>
      <c r="L239" s="225"/>
      <c r="M239" s="225"/>
    </row>
    <row r="240" spans="1:13" ht="12" customHeight="1" x14ac:dyDescent="0.2">
      <c r="A240" s="156"/>
      <c r="B240" s="223"/>
      <c r="C240" s="156"/>
      <c r="D240" s="157"/>
      <c r="E240" s="224"/>
      <c r="F240" s="145"/>
      <c r="G240" s="225"/>
      <c r="H240" s="225"/>
      <c r="I240" s="225"/>
      <c r="J240" s="225"/>
      <c r="K240" s="225"/>
      <c r="L240" s="225"/>
      <c r="M240" s="225"/>
    </row>
    <row r="241" spans="1:13" ht="12" customHeight="1" x14ac:dyDescent="0.2">
      <c r="A241" s="156"/>
      <c r="B241" s="223"/>
      <c r="C241" s="156"/>
      <c r="D241" s="157"/>
      <c r="E241" s="224"/>
      <c r="F241" s="145"/>
      <c r="G241" s="225"/>
      <c r="H241" s="225"/>
      <c r="I241" s="225"/>
      <c r="J241" s="225"/>
      <c r="K241" s="225"/>
      <c r="L241" s="225"/>
      <c r="M241" s="225"/>
    </row>
    <row r="242" spans="1:13" ht="12" customHeight="1" x14ac:dyDescent="0.2">
      <c r="A242" s="156"/>
      <c r="B242" s="223"/>
      <c r="C242" s="156"/>
      <c r="D242" s="157"/>
      <c r="E242" s="224"/>
      <c r="F242" s="145"/>
      <c r="G242" s="225"/>
      <c r="H242" s="225"/>
      <c r="I242" s="225"/>
      <c r="J242" s="225"/>
      <c r="K242" s="225"/>
      <c r="L242" s="225"/>
      <c r="M242" s="225"/>
    </row>
    <row r="243" spans="1:13" ht="12" customHeight="1" x14ac:dyDescent="0.2">
      <c r="A243" s="156"/>
      <c r="B243" s="223"/>
      <c r="C243" s="156"/>
      <c r="D243" s="157"/>
      <c r="E243" s="224"/>
      <c r="F243" s="145"/>
      <c r="G243" s="225"/>
      <c r="H243" s="225"/>
      <c r="I243" s="225"/>
      <c r="J243" s="225"/>
      <c r="K243" s="225"/>
      <c r="L243" s="225"/>
      <c r="M243" s="225"/>
    </row>
    <row r="244" spans="1:13" ht="12" customHeight="1" x14ac:dyDescent="0.2">
      <c r="A244" s="156"/>
      <c r="B244" s="223"/>
      <c r="C244" s="156"/>
      <c r="D244" s="157"/>
      <c r="E244" s="224"/>
      <c r="F244" s="145"/>
      <c r="G244" s="225"/>
      <c r="H244" s="225"/>
      <c r="I244" s="225"/>
      <c r="J244" s="225"/>
      <c r="K244" s="225"/>
      <c r="L244" s="225"/>
      <c r="M244" s="225"/>
    </row>
    <row r="245" spans="1:13" ht="12" customHeight="1" x14ac:dyDescent="0.2">
      <c r="A245" s="156"/>
      <c r="B245" s="223"/>
      <c r="C245" s="156"/>
      <c r="D245" s="157"/>
      <c r="E245" s="224"/>
      <c r="F245" s="145"/>
      <c r="G245" s="225"/>
      <c r="H245" s="225"/>
      <c r="I245" s="225"/>
      <c r="J245" s="225"/>
      <c r="K245" s="225"/>
      <c r="L245" s="225"/>
      <c r="M245" s="225"/>
    </row>
    <row r="246" spans="1:13" ht="12" customHeight="1" x14ac:dyDescent="0.2">
      <c r="A246" s="156"/>
      <c r="B246" s="223"/>
      <c r="C246" s="156"/>
      <c r="D246" s="157"/>
      <c r="E246" s="224"/>
      <c r="F246" s="145"/>
      <c r="G246" s="225"/>
      <c r="H246" s="225"/>
      <c r="I246" s="225"/>
      <c r="J246" s="225"/>
      <c r="K246" s="225"/>
      <c r="L246" s="225"/>
      <c r="M246" s="225"/>
    </row>
    <row r="247" spans="1:13" ht="12" customHeight="1" x14ac:dyDescent="0.2">
      <c r="A247" s="156"/>
      <c r="B247" s="223"/>
      <c r="C247" s="156"/>
      <c r="D247" s="157"/>
      <c r="E247" s="224"/>
      <c r="F247" s="145"/>
      <c r="G247" s="225"/>
      <c r="H247" s="225"/>
      <c r="I247" s="225"/>
      <c r="J247" s="225"/>
      <c r="K247" s="225"/>
      <c r="L247" s="225"/>
      <c r="M247" s="225"/>
    </row>
    <row r="248" spans="1:13" ht="12" customHeight="1" x14ac:dyDescent="0.2">
      <c r="A248" s="156"/>
      <c r="B248" s="223"/>
      <c r="C248" s="156"/>
      <c r="D248" s="157"/>
      <c r="E248" s="224"/>
      <c r="F248" s="145"/>
      <c r="G248" s="225"/>
      <c r="H248" s="225"/>
      <c r="I248" s="225"/>
      <c r="J248" s="225"/>
      <c r="K248" s="225"/>
      <c r="L248" s="225"/>
      <c r="M248" s="225"/>
    </row>
    <row r="249" spans="1:13" ht="12" customHeight="1" x14ac:dyDescent="0.2">
      <c r="A249" s="156"/>
      <c r="B249" s="223"/>
      <c r="C249" s="156"/>
      <c r="D249" s="157"/>
      <c r="E249" s="224"/>
      <c r="F249" s="145"/>
      <c r="G249" s="225"/>
      <c r="H249" s="225"/>
      <c r="I249" s="225"/>
      <c r="J249" s="225"/>
      <c r="K249" s="225"/>
      <c r="L249" s="225"/>
      <c r="M249" s="225"/>
    </row>
    <row r="250" spans="1:13" ht="12" customHeight="1" x14ac:dyDescent="0.2">
      <c r="A250" s="156"/>
      <c r="B250" s="223"/>
      <c r="C250" s="156"/>
      <c r="D250" s="157"/>
      <c r="E250" s="224"/>
      <c r="F250" s="145"/>
      <c r="G250" s="225"/>
      <c r="H250" s="225"/>
      <c r="I250" s="225"/>
      <c r="J250" s="225"/>
      <c r="K250" s="225"/>
      <c r="L250" s="225"/>
      <c r="M250" s="225"/>
    </row>
    <row r="251" spans="1:13" ht="12" customHeight="1" x14ac:dyDescent="0.2">
      <c r="A251" s="156"/>
      <c r="B251" s="223"/>
      <c r="C251" s="156"/>
      <c r="D251" s="157"/>
      <c r="E251" s="224"/>
      <c r="F251" s="145"/>
      <c r="G251" s="225"/>
      <c r="H251" s="225"/>
      <c r="I251" s="225"/>
      <c r="J251" s="225"/>
      <c r="K251" s="225"/>
      <c r="L251" s="225"/>
      <c r="M251" s="225"/>
    </row>
    <row r="252" spans="1:13" ht="12" customHeight="1" x14ac:dyDescent="0.2">
      <c r="A252" s="156"/>
      <c r="B252" s="223"/>
      <c r="C252" s="156"/>
      <c r="D252" s="157"/>
      <c r="E252" s="224"/>
      <c r="F252" s="145"/>
      <c r="G252" s="225"/>
      <c r="H252" s="225"/>
      <c r="I252" s="225"/>
      <c r="J252" s="225"/>
      <c r="K252" s="225"/>
      <c r="L252" s="225"/>
      <c r="M252" s="225"/>
    </row>
    <row r="253" spans="1:13" ht="12" customHeight="1" x14ac:dyDescent="0.2">
      <c r="A253" s="156"/>
      <c r="B253" s="223"/>
      <c r="C253" s="156"/>
      <c r="D253" s="157"/>
      <c r="E253" s="224"/>
      <c r="F253" s="145"/>
      <c r="G253" s="225"/>
      <c r="H253" s="225"/>
      <c r="I253" s="225"/>
      <c r="J253" s="225"/>
      <c r="K253" s="225"/>
      <c r="L253" s="225"/>
      <c r="M253" s="225"/>
    </row>
    <row r="254" spans="1:13" ht="12" customHeight="1" x14ac:dyDescent="0.2">
      <c r="A254" s="156"/>
      <c r="B254" s="223"/>
      <c r="C254" s="156"/>
      <c r="D254" s="157"/>
      <c r="E254" s="224"/>
      <c r="F254" s="145"/>
      <c r="G254" s="225"/>
      <c r="H254" s="225"/>
      <c r="I254" s="225"/>
      <c r="J254" s="225"/>
      <c r="K254" s="225"/>
      <c r="L254" s="225"/>
      <c r="M254" s="225"/>
    </row>
    <row r="255" spans="1:13" ht="12" customHeight="1" x14ac:dyDescent="0.2">
      <c r="A255" s="156"/>
      <c r="B255" s="223"/>
      <c r="C255" s="156"/>
      <c r="D255" s="157"/>
      <c r="E255" s="224"/>
      <c r="F255" s="145"/>
      <c r="G255" s="225"/>
      <c r="H255" s="225"/>
      <c r="I255" s="225"/>
      <c r="J255" s="225"/>
      <c r="K255" s="225"/>
      <c r="L255" s="225"/>
      <c r="M255" s="225"/>
    </row>
    <row r="256" spans="1:13" ht="12" customHeight="1" x14ac:dyDescent="0.2">
      <c r="A256" s="156"/>
      <c r="B256" s="223"/>
      <c r="C256" s="156"/>
      <c r="D256" s="157"/>
      <c r="E256" s="224"/>
      <c r="F256" s="145"/>
      <c r="G256" s="225"/>
      <c r="H256" s="225"/>
      <c r="I256" s="225"/>
      <c r="J256" s="225"/>
      <c r="K256" s="225"/>
      <c r="L256" s="225"/>
      <c r="M256" s="225"/>
    </row>
    <row r="257" spans="1:13" ht="12" customHeight="1" x14ac:dyDescent="0.2">
      <c r="A257" s="156"/>
      <c r="B257" s="223"/>
      <c r="C257" s="156"/>
      <c r="D257" s="157"/>
      <c r="E257" s="224"/>
      <c r="F257" s="145"/>
      <c r="G257" s="225"/>
      <c r="H257" s="225"/>
      <c r="I257" s="225"/>
      <c r="J257" s="225"/>
      <c r="K257" s="225"/>
      <c r="L257" s="225"/>
      <c r="M257" s="225"/>
    </row>
    <row r="258" spans="1:13" ht="12" customHeight="1" x14ac:dyDescent="0.2">
      <c r="A258" s="156"/>
      <c r="B258" s="223"/>
      <c r="C258" s="156"/>
      <c r="D258" s="157"/>
      <c r="E258" s="224"/>
      <c r="F258" s="145"/>
      <c r="G258" s="225"/>
      <c r="H258" s="225"/>
      <c r="I258" s="225"/>
      <c r="J258" s="225"/>
      <c r="K258" s="225"/>
      <c r="L258" s="225"/>
      <c r="M258" s="225"/>
    </row>
    <row r="259" spans="1:13" ht="12" customHeight="1" x14ac:dyDescent="0.2">
      <c r="A259" s="156"/>
      <c r="B259" s="223"/>
      <c r="C259" s="156"/>
      <c r="D259" s="157"/>
      <c r="E259" s="224"/>
      <c r="F259" s="145"/>
      <c r="G259" s="225"/>
      <c r="H259" s="225"/>
      <c r="I259" s="225"/>
      <c r="J259" s="225"/>
      <c r="K259" s="225"/>
      <c r="L259" s="225"/>
      <c r="M259" s="225"/>
    </row>
    <row r="260" spans="1:13" ht="12" customHeight="1" x14ac:dyDescent="0.2">
      <c r="A260" s="156"/>
      <c r="B260" s="223"/>
      <c r="C260" s="156"/>
      <c r="D260" s="157"/>
      <c r="E260" s="224"/>
      <c r="F260" s="145"/>
      <c r="G260" s="225"/>
      <c r="H260" s="225"/>
      <c r="I260" s="225"/>
      <c r="J260" s="225"/>
      <c r="K260" s="225"/>
      <c r="L260" s="225"/>
      <c r="M260" s="225"/>
    </row>
    <row r="261" spans="1:13" ht="12" customHeight="1" x14ac:dyDescent="0.2">
      <c r="A261" s="156"/>
      <c r="B261" s="223"/>
      <c r="C261" s="156"/>
      <c r="D261" s="157"/>
      <c r="E261" s="224"/>
      <c r="F261" s="145"/>
      <c r="G261" s="225"/>
      <c r="H261" s="225"/>
      <c r="I261" s="225"/>
      <c r="J261" s="225"/>
      <c r="K261" s="225"/>
      <c r="L261" s="225"/>
      <c r="M261" s="225"/>
    </row>
    <row r="262" spans="1:13" ht="12" customHeight="1" x14ac:dyDescent="0.2">
      <c r="A262" s="156"/>
      <c r="B262" s="223"/>
      <c r="C262" s="156"/>
      <c r="D262" s="157"/>
      <c r="E262" s="224"/>
      <c r="F262" s="145"/>
      <c r="G262" s="225"/>
      <c r="H262" s="225"/>
      <c r="I262" s="225"/>
      <c r="J262" s="225"/>
      <c r="K262" s="225"/>
      <c r="L262" s="225"/>
      <c r="M262" s="225"/>
    </row>
    <row r="263" spans="1:13" ht="12" customHeight="1" x14ac:dyDescent="0.2">
      <c r="A263" s="156"/>
      <c r="B263" s="223"/>
      <c r="C263" s="156"/>
      <c r="D263" s="157"/>
      <c r="E263" s="224"/>
      <c r="F263" s="145"/>
      <c r="G263" s="225"/>
      <c r="H263" s="225"/>
      <c r="I263" s="225"/>
      <c r="J263" s="225"/>
      <c r="K263" s="225"/>
      <c r="L263" s="225"/>
      <c r="M263" s="225"/>
    </row>
    <row r="264" spans="1:13" ht="12" customHeight="1" x14ac:dyDescent="0.2">
      <c r="A264" s="156"/>
      <c r="B264" s="223"/>
      <c r="C264" s="156"/>
      <c r="D264" s="157"/>
      <c r="E264" s="224"/>
      <c r="F264" s="145"/>
      <c r="G264" s="225"/>
      <c r="H264" s="225"/>
      <c r="I264" s="225"/>
      <c r="J264" s="225"/>
      <c r="K264" s="225"/>
      <c r="L264" s="225"/>
      <c r="M264" s="225"/>
    </row>
    <row r="265" spans="1:13" ht="12" customHeight="1" x14ac:dyDescent="0.2">
      <c r="A265" s="156"/>
      <c r="B265" s="223"/>
      <c r="C265" s="156"/>
      <c r="D265" s="157"/>
      <c r="E265" s="224"/>
      <c r="F265" s="145"/>
      <c r="G265" s="225"/>
      <c r="H265" s="225"/>
      <c r="I265" s="225"/>
      <c r="J265" s="225"/>
      <c r="K265" s="225"/>
      <c r="L265" s="225"/>
      <c r="M265" s="225"/>
    </row>
    <row r="266" spans="1:13" ht="12" customHeight="1" x14ac:dyDescent="0.2">
      <c r="A266" s="156"/>
      <c r="B266" s="223"/>
      <c r="C266" s="156"/>
      <c r="D266" s="157"/>
      <c r="E266" s="224"/>
      <c r="F266" s="145"/>
      <c r="G266" s="225"/>
      <c r="H266" s="225"/>
      <c r="I266" s="225"/>
      <c r="J266" s="225"/>
      <c r="K266" s="225"/>
      <c r="L266" s="225"/>
      <c r="M266" s="225"/>
    </row>
    <row r="267" spans="1:13" ht="12" customHeight="1" x14ac:dyDescent="0.2">
      <c r="A267" s="156"/>
      <c r="B267" s="223"/>
      <c r="C267" s="156"/>
      <c r="D267" s="157"/>
      <c r="E267" s="224"/>
      <c r="F267" s="145"/>
      <c r="G267" s="225"/>
      <c r="H267" s="225"/>
      <c r="I267" s="225"/>
      <c r="J267" s="225"/>
      <c r="K267" s="225"/>
      <c r="L267" s="225"/>
      <c r="M267" s="225"/>
    </row>
    <row r="268" spans="1:13" ht="12" customHeight="1" x14ac:dyDescent="0.2">
      <c r="A268" s="156"/>
      <c r="B268" s="223"/>
      <c r="C268" s="156"/>
      <c r="D268" s="157"/>
      <c r="E268" s="224"/>
      <c r="F268" s="145"/>
      <c r="G268" s="225"/>
      <c r="H268" s="225"/>
      <c r="I268" s="225"/>
      <c r="J268" s="225"/>
      <c r="K268" s="225"/>
      <c r="L268" s="225"/>
      <c r="M268" s="225"/>
    </row>
    <row r="269" spans="1:13" ht="12" customHeight="1" x14ac:dyDescent="0.2">
      <c r="A269" s="156"/>
      <c r="B269" s="223"/>
      <c r="C269" s="156"/>
      <c r="D269" s="157"/>
      <c r="E269" s="224"/>
      <c r="F269" s="145"/>
      <c r="G269" s="225"/>
      <c r="H269" s="225"/>
      <c r="I269" s="225"/>
      <c r="J269" s="225"/>
      <c r="K269" s="225"/>
      <c r="L269" s="225"/>
      <c r="M269" s="225"/>
    </row>
    <row r="270" spans="1:13" ht="12" customHeight="1" x14ac:dyDescent="0.2">
      <c r="A270" s="156"/>
      <c r="B270" s="223"/>
      <c r="C270" s="156"/>
      <c r="D270" s="157"/>
      <c r="E270" s="224"/>
      <c r="F270" s="145"/>
      <c r="G270" s="225"/>
      <c r="H270" s="225"/>
      <c r="I270" s="225"/>
      <c r="J270" s="225"/>
      <c r="K270" s="225"/>
      <c r="L270" s="225"/>
      <c r="M270" s="225"/>
    </row>
    <row r="271" spans="1:13" ht="12" customHeight="1" x14ac:dyDescent="0.2">
      <c r="A271" s="156"/>
      <c r="B271" s="223"/>
      <c r="C271" s="156"/>
      <c r="D271" s="157"/>
      <c r="E271" s="224"/>
      <c r="F271" s="145"/>
      <c r="G271" s="225"/>
      <c r="H271" s="225"/>
      <c r="I271" s="225"/>
      <c r="J271" s="225"/>
      <c r="K271" s="225"/>
      <c r="L271" s="225"/>
      <c r="M271" s="225"/>
    </row>
    <row r="272" spans="1:13" ht="12" customHeight="1" x14ac:dyDescent="0.2">
      <c r="A272" s="156"/>
      <c r="B272" s="223"/>
      <c r="C272" s="156"/>
      <c r="D272" s="157"/>
      <c r="E272" s="224"/>
      <c r="F272" s="145"/>
      <c r="G272" s="225"/>
      <c r="H272" s="225"/>
      <c r="I272" s="225"/>
      <c r="J272" s="225"/>
      <c r="K272" s="225"/>
      <c r="L272" s="225"/>
      <c r="M272" s="225"/>
    </row>
    <row r="273" spans="1:13" x14ac:dyDescent="0.2">
      <c r="A273" s="158"/>
      <c r="B273" s="159"/>
      <c r="C273" s="160"/>
      <c r="D273" s="157"/>
      <c r="E273" s="144"/>
      <c r="F273" s="145"/>
      <c r="G273" s="145"/>
      <c r="H273" s="145"/>
      <c r="I273" s="159"/>
      <c r="J273" s="159"/>
      <c r="K273" s="159"/>
      <c r="L273" s="159"/>
      <c r="M273" s="159"/>
    </row>
    <row r="274" spans="1:13" x14ac:dyDescent="0.2">
      <c r="A274" s="158"/>
      <c r="B274" s="159"/>
      <c r="C274" s="160"/>
      <c r="D274" s="157"/>
      <c r="E274" s="144"/>
      <c r="F274" s="145"/>
      <c r="G274" s="145"/>
      <c r="H274" s="145"/>
      <c r="I274" s="159"/>
      <c r="J274" s="159"/>
      <c r="K274" s="159"/>
      <c r="L274" s="159"/>
      <c r="M274" s="159"/>
    </row>
    <row r="275" spans="1:13" x14ac:dyDescent="0.2">
      <c r="A275" s="158"/>
      <c r="B275" s="159"/>
      <c r="C275" s="160"/>
      <c r="D275" s="157"/>
      <c r="E275" s="144"/>
      <c r="F275" s="145"/>
      <c r="G275" s="145"/>
      <c r="H275" s="145"/>
      <c r="I275" s="159"/>
      <c r="J275" s="159"/>
      <c r="K275" s="159"/>
      <c r="L275" s="159"/>
      <c r="M275" s="159"/>
    </row>
    <row r="276" spans="1:13" x14ac:dyDescent="0.2">
      <c r="A276" s="158"/>
      <c r="B276" s="159"/>
      <c r="C276" s="160"/>
      <c r="D276" s="157"/>
      <c r="E276" s="144"/>
      <c r="F276" s="145"/>
      <c r="G276" s="145"/>
      <c r="H276" s="145"/>
      <c r="I276" s="159"/>
      <c r="J276" s="159"/>
      <c r="K276" s="159"/>
      <c r="L276" s="159"/>
      <c r="M276" s="159"/>
    </row>
    <row r="277" spans="1:13" x14ac:dyDescent="0.2">
      <c r="A277" s="158"/>
      <c r="B277" s="159"/>
      <c r="C277" s="160"/>
      <c r="D277" s="157"/>
      <c r="E277" s="144"/>
      <c r="F277" s="145"/>
      <c r="G277" s="145"/>
      <c r="H277" s="145"/>
      <c r="I277" s="159"/>
      <c r="J277" s="159"/>
      <c r="K277" s="159"/>
      <c r="L277" s="159"/>
      <c r="M277" s="159"/>
    </row>
    <row r="278" spans="1:13" x14ac:dyDescent="0.2">
      <c r="A278" s="158"/>
      <c r="B278" s="159"/>
      <c r="C278" s="160"/>
      <c r="D278" s="157"/>
      <c r="E278" s="144"/>
      <c r="F278" s="145"/>
      <c r="G278" s="145"/>
      <c r="H278" s="145"/>
      <c r="I278" s="159"/>
      <c r="J278" s="159"/>
      <c r="K278" s="159"/>
      <c r="L278" s="159"/>
      <c r="M278" s="159"/>
    </row>
    <row r="279" spans="1:13" x14ac:dyDescent="0.2">
      <c r="A279" s="158"/>
      <c r="B279" s="159"/>
      <c r="C279" s="160"/>
      <c r="D279" s="157"/>
      <c r="E279" s="144"/>
      <c r="F279" s="145"/>
      <c r="G279" s="145"/>
      <c r="H279" s="145"/>
      <c r="I279" s="159"/>
      <c r="J279" s="159"/>
      <c r="K279" s="159"/>
      <c r="L279" s="159"/>
      <c r="M279" s="159"/>
    </row>
    <row r="280" spans="1:13" x14ac:dyDescent="0.2">
      <c r="A280" s="158"/>
      <c r="B280" s="159"/>
      <c r="C280" s="160"/>
      <c r="D280" s="157"/>
      <c r="E280" s="144"/>
      <c r="F280" s="145"/>
      <c r="G280" s="145"/>
      <c r="H280" s="145"/>
      <c r="I280" s="159"/>
      <c r="J280" s="159"/>
      <c r="K280" s="159"/>
      <c r="L280" s="159"/>
      <c r="M280" s="159"/>
    </row>
  </sheetData>
  <sheetProtection selectLockedCells="1"/>
  <dataValidations count="7">
    <dataValidation type="custom" allowBlank="1" showInputMessage="1" showErrorMessage="1" error="Solo se permiten datos de tipo texto" sqref="C2" xr:uid="{00000000-0002-0000-0900-000000000000}">
      <formula1>ISTEXT(C2)</formula1>
    </dataValidation>
    <dataValidation type="custom" allowBlank="1" showInputMessage="1" showErrorMessage="1" error="Solo se permiten datos numericos" sqref="B2 G2:M2" xr:uid="{00000000-0002-0000-0900-000001000000}">
      <formula1>ISNUMBER(B2)</formula1>
    </dataValidation>
    <dataValidation type="list" allowBlank="1" showInputMessage="1" showErrorMessage="1" error="Solo se permiten datos de tipo texto" sqref="A2" xr:uid="{00000000-0002-0000-0900-000002000000}">
      <formula1>INDIRECT("distribuidoras")</formula1>
    </dataValidation>
    <dataValidation type="list" allowBlank="1" showInputMessage="1" showErrorMessage="1" sqref="F2" xr:uid="{00000000-0002-0000-0900-000006000000}">
      <formula1>INDIRECT("grupo_gasto")</formula1>
    </dataValidation>
    <dataValidation type="list" allowBlank="1" showInputMessage="1" showErrorMessage="1" sqref="D2" xr:uid="{B54E0F79-CBA2-4B39-AA84-2D12518F657F}">
      <formula1>INDIRECT("etapas_funcionales_spee")</formula1>
    </dataValidation>
    <dataValidation type="list" allowBlank="1" showInputMessage="1" showErrorMessage="1" sqref="E2" xr:uid="{96AD96A9-98A7-45B4-BDD2-BB6CBE38D0C6}">
      <formula1>INDIRECT("tipo_gasto")</formula1>
    </dataValidation>
    <dataValidation type="list" allowBlank="1" showInputMessage="1" showErrorMessage="1" sqref="D3:F280" xr:uid="{00000000-0002-0000-0900-000003000000}">
      <formula1>#REF!</formula1>
    </dataValidation>
  </dataValidations>
  <pageMargins left="0.7" right="0.7" top="0.75" bottom="0.75" header="0.3" footer="0.3"/>
  <pageSetup paperSize="9" scale="27" orientation="portrait" horizontalDpi="90" verticalDpi="9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6"/>
  <dimension ref="A1:BP2"/>
  <sheetViews>
    <sheetView showGridLines="0" view="pageBreakPreview" topLeftCell="AZ1" zoomScaleNormal="100" zoomScaleSheetLayoutView="100" workbookViewId="0">
      <selection activeCell="BF2" sqref="BF2"/>
    </sheetView>
  </sheetViews>
  <sheetFormatPr baseColWidth="10" defaultColWidth="14.42578125" defaultRowHeight="12.75" x14ac:dyDescent="0.25"/>
  <cols>
    <col min="1" max="1" width="24" style="148" customWidth="1"/>
    <col min="2" max="2" width="19.140625" style="148" bestFit="1" customWidth="1"/>
    <col min="3" max="3" width="31.5703125" style="148" customWidth="1"/>
    <col min="4" max="4" width="19.5703125" style="148" customWidth="1"/>
    <col min="5" max="5" width="20.140625" style="148" customWidth="1"/>
    <col min="6" max="6" width="19.140625" style="149" bestFit="1" customWidth="1"/>
    <col min="7" max="7" width="19.5703125" style="148" customWidth="1"/>
    <col min="8" max="8" width="44.7109375" style="148" customWidth="1"/>
    <col min="9" max="9" width="23" style="148" customWidth="1"/>
    <col min="10" max="10" width="15.140625" style="148" customWidth="1"/>
    <col min="11" max="11" width="15.42578125" style="148" customWidth="1"/>
    <col min="12" max="13" width="17.7109375" style="148" customWidth="1"/>
    <col min="14" max="14" width="24.42578125" style="148" bestFit="1" customWidth="1"/>
    <col min="15" max="15" width="17.5703125" style="148" customWidth="1"/>
    <col min="16" max="16" width="18.85546875" style="148" customWidth="1"/>
    <col min="17" max="17" width="23.28515625" style="150" customWidth="1"/>
    <col min="18" max="18" width="21.42578125" style="151" customWidth="1"/>
    <col min="19" max="19" width="20.85546875" style="152" customWidth="1"/>
    <col min="20" max="20" width="23.5703125" style="148" customWidth="1"/>
    <col min="21" max="21" width="25" style="148" customWidth="1"/>
    <col min="22" max="22" width="21.85546875" style="148" customWidth="1"/>
    <col min="23" max="23" width="19" style="148" customWidth="1"/>
    <col min="24" max="24" width="31.28515625" style="148" customWidth="1"/>
    <col min="25" max="25" width="22.140625" style="148" customWidth="1"/>
    <col min="26" max="26" width="22.7109375" style="148" customWidth="1"/>
    <col min="27" max="27" width="21.28515625" style="148" customWidth="1"/>
    <col min="28" max="28" width="17.85546875" style="148" customWidth="1"/>
    <col min="29" max="29" width="24.42578125" style="148" customWidth="1"/>
    <col min="30" max="33" width="17.85546875" style="148" customWidth="1"/>
    <col min="34" max="34" width="21.28515625" style="148" customWidth="1"/>
    <col min="35" max="35" width="18.140625" style="148" customWidth="1"/>
    <col min="36" max="36" width="16.5703125" style="148" customWidth="1"/>
    <col min="37" max="37" width="17.140625" style="148" customWidth="1"/>
    <col min="38" max="38" width="15.85546875" style="148" customWidth="1"/>
    <col min="39" max="39" width="17.85546875" style="148" customWidth="1"/>
    <col min="40" max="40" width="16.5703125" style="148" customWidth="1"/>
    <col min="41" max="41" width="16.7109375" style="148" customWidth="1"/>
    <col min="42" max="42" width="14.85546875" style="148" customWidth="1"/>
    <col min="43" max="43" width="15.7109375" style="148" customWidth="1"/>
    <col min="44" max="44" width="14.7109375" style="148" customWidth="1"/>
    <col min="45" max="45" width="17.140625" style="148" customWidth="1"/>
    <col min="46" max="46" width="15.42578125" style="148" customWidth="1"/>
    <col min="47" max="47" width="17" style="148" customWidth="1"/>
    <col min="48" max="48" width="15.28515625" style="148" customWidth="1"/>
    <col min="49" max="49" width="14.85546875" style="148" customWidth="1"/>
    <col min="50" max="50" width="15.28515625" style="148" customWidth="1"/>
    <col min="51" max="51" width="16.28515625" style="148" customWidth="1"/>
    <col min="52" max="52" width="16.5703125" style="148" customWidth="1"/>
    <col min="53" max="53" width="18.28515625" style="148" customWidth="1"/>
    <col min="54" max="54" width="14.42578125" style="148" customWidth="1"/>
    <col min="55" max="55" width="18.85546875" style="148" customWidth="1"/>
    <col min="56" max="56" width="15.7109375" style="148" customWidth="1"/>
    <col min="57" max="57" width="19" style="148" customWidth="1"/>
    <col min="58" max="58" width="18.140625" style="148" customWidth="1"/>
    <col min="59" max="60" width="16.28515625" style="148" customWidth="1"/>
    <col min="61" max="61" width="18.5703125" style="148" customWidth="1"/>
    <col min="62" max="62" width="16.85546875" style="148" customWidth="1"/>
    <col min="63" max="63" width="17.28515625" style="148" bestFit="1" customWidth="1"/>
    <col min="64" max="64" width="25.42578125" style="148" customWidth="1"/>
    <col min="65" max="65" width="26.140625" style="148" customWidth="1"/>
    <col min="66" max="67" width="18.28515625" style="148" customWidth="1"/>
    <col min="68" max="68" width="54.28515625" style="148" customWidth="1"/>
    <col min="69" max="69" width="4" style="148" customWidth="1"/>
    <col min="70" max="74" width="11.42578125" style="148" customWidth="1"/>
    <col min="75" max="16384" width="14.42578125" style="148"/>
  </cols>
  <sheetData>
    <row r="1" spans="1:68" x14ac:dyDescent="0.25">
      <c r="A1" s="153" t="s">
        <v>88</v>
      </c>
      <c r="B1" s="153" t="s">
        <v>34</v>
      </c>
      <c r="C1" s="153" t="s">
        <v>89</v>
      </c>
      <c r="D1" s="153" t="s">
        <v>92</v>
      </c>
      <c r="E1" s="153" t="s">
        <v>35</v>
      </c>
      <c r="F1" s="153" t="s">
        <v>295</v>
      </c>
      <c r="G1" s="163" t="s">
        <v>90</v>
      </c>
      <c r="H1" s="153" t="s">
        <v>36</v>
      </c>
      <c r="I1" s="153" t="s">
        <v>37</v>
      </c>
      <c r="J1" s="154" t="s">
        <v>38</v>
      </c>
      <c r="K1" s="154" t="s">
        <v>39</v>
      </c>
      <c r="L1" s="154" t="s">
        <v>40</v>
      </c>
      <c r="M1" s="154" t="s">
        <v>296</v>
      </c>
      <c r="N1" s="153" t="s">
        <v>26</v>
      </c>
      <c r="O1" s="153" t="s">
        <v>348</v>
      </c>
      <c r="P1" s="153" t="s">
        <v>41</v>
      </c>
      <c r="Q1" s="153" t="s">
        <v>91</v>
      </c>
      <c r="R1" s="164" t="s">
        <v>42</v>
      </c>
      <c r="S1" s="154" t="s">
        <v>43</v>
      </c>
      <c r="T1" s="153" t="s">
        <v>44</v>
      </c>
      <c r="U1" s="153" t="s">
        <v>45</v>
      </c>
      <c r="V1" s="153" t="s">
        <v>46</v>
      </c>
      <c r="W1" s="153" t="s">
        <v>47</v>
      </c>
      <c r="X1" s="153" t="s">
        <v>85</v>
      </c>
      <c r="Y1" s="153" t="s">
        <v>48</v>
      </c>
      <c r="Z1" s="153" t="s">
        <v>299</v>
      </c>
      <c r="AA1" s="153" t="s">
        <v>29</v>
      </c>
      <c r="AB1" s="153" t="s">
        <v>30</v>
      </c>
      <c r="AC1" s="153" t="s">
        <v>87</v>
      </c>
      <c r="AD1" s="153" t="s">
        <v>31</v>
      </c>
      <c r="AE1" s="154" t="s">
        <v>32</v>
      </c>
      <c r="AF1" s="154" t="s">
        <v>33</v>
      </c>
      <c r="AG1" s="154" t="s">
        <v>298</v>
      </c>
      <c r="AH1" s="153" t="s">
        <v>84</v>
      </c>
      <c r="AI1" s="153" t="s">
        <v>49</v>
      </c>
      <c r="AJ1" s="153" t="s">
        <v>50</v>
      </c>
      <c r="AK1" s="153" t="s">
        <v>51</v>
      </c>
      <c r="AL1" s="153" t="s">
        <v>52</v>
      </c>
      <c r="AM1" s="153" t="s">
        <v>53</v>
      </c>
      <c r="AN1" s="153" t="s">
        <v>54</v>
      </c>
      <c r="AO1" s="153" t="s">
        <v>55</v>
      </c>
      <c r="AP1" s="153" t="s">
        <v>56</v>
      </c>
      <c r="AQ1" s="153" t="s">
        <v>57</v>
      </c>
      <c r="AR1" s="153" t="s">
        <v>58</v>
      </c>
      <c r="AS1" s="153" t="s">
        <v>59</v>
      </c>
      <c r="AT1" s="153" t="s">
        <v>60</v>
      </c>
      <c r="AU1" s="153" t="s">
        <v>61</v>
      </c>
      <c r="AV1" s="153" t="s">
        <v>62</v>
      </c>
      <c r="AW1" s="153" t="s">
        <v>63</v>
      </c>
      <c r="AX1" s="153" t="s">
        <v>64</v>
      </c>
      <c r="AY1" s="153" t="s">
        <v>65</v>
      </c>
      <c r="AZ1" s="153" t="s">
        <v>66</v>
      </c>
      <c r="BA1" s="153" t="s">
        <v>67</v>
      </c>
      <c r="BB1" s="153" t="s">
        <v>68</v>
      </c>
      <c r="BC1" s="153" t="s">
        <v>69</v>
      </c>
      <c r="BD1" s="153" t="s">
        <v>70</v>
      </c>
      <c r="BE1" s="153" t="s">
        <v>71</v>
      </c>
      <c r="BF1" s="153" t="s">
        <v>72</v>
      </c>
      <c r="BG1" s="153" t="s">
        <v>73</v>
      </c>
      <c r="BH1" s="153" t="s">
        <v>74</v>
      </c>
      <c r="BI1" s="153" t="s">
        <v>75</v>
      </c>
      <c r="BJ1" s="153" t="s">
        <v>76</v>
      </c>
      <c r="BK1" s="153" t="s">
        <v>77</v>
      </c>
      <c r="BL1" s="153" t="s">
        <v>78</v>
      </c>
      <c r="BM1" s="153" t="s">
        <v>79</v>
      </c>
      <c r="BN1" s="153" t="s">
        <v>80</v>
      </c>
      <c r="BO1" s="153" t="s">
        <v>302</v>
      </c>
      <c r="BP1" s="153" t="s">
        <v>81</v>
      </c>
    </row>
    <row r="2" spans="1:68" x14ac:dyDescent="0.25">
      <c r="A2" s="156"/>
      <c r="D2" s="165"/>
      <c r="F2" s="234"/>
      <c r="N2" s="157"/>
      <c r="W2" s="166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5"/>
      <c r="AX2" s="235"/>
      <c r="AY2" s="235"/>
      <c r="AZ2" s="235"/>
      <c r="BA2" s="235"/>
      <c r="BB2" s="235"/>
      <c r="BC2" s="235"/>
      <c r="BD2" s="235"/>
      <c r="BE2" s="235"/>
      <c r="BF2" s="235"/>
      <c r="BG2" s="235"/>
      <c r="BH2" s="235"/>
      <c r="BI2" s="235"/>
      <c r="BJ2" s="235"/>
      <c r="BL2" s="237"/>
      <c r="BM2" s="237"/>
      <c r="BN2" s="236"/>
      <c r="BO2" s="236"/>
    </row>
  </sheetData>
  <phoneticPr fontId="24" type="noConversion"/>
  <dataValidations count="9">
    <dataValidation allowBlank="1" showInputMessage="1" showErrorMessage="1" prompt="Aplica para proyectos de arrastre, es decir aprobados en años anteriores, que se esten ejecutando en el año en curso. Para proyectos nuevos no aplica." sqref="F1" xr:uid="{00000000-0002-0000-0A00-000000000000}"/>
    <dataValidation type="list" allowBlank="1" showInputMessage="1" showErrorMessage="1" sqref="B2:C2 M2" xr:uid="{00000000-0002-0000-0A00-000001000000}">
      <formula1>"Sí,No"</formula1>
    </dataValidation>
    <dataValidation type="list" allowBlank="1" showInputMessage="1" showErrorMessage="1" sqref="F2" xr:uid="{00000000-0002-0000-0A00-000002000000}">
      <formula1>INDIRECT("rubros_spee")</formula1>
    </dataValidation>
    <dataValidation type="list" allowBlank="1" showInputMessage="1" showErrorMessage="1" error="Solo se permiten datos de tipo texto" sqref="A2" xr:uid="{00000000-0002-0000-0A00-000003000000}">
      <formula1>INDIRECT("distribuidoras")</formula1>
    </dataValidation>
    <dataValidation type="list" allowBlank="1" showInputMessage="1" showErrorMessage="1" sqref="N2" xr:uid="{00000000-0002-0000-0A00-000004000000}">
      <formula1>INDIRECT("etapas_funcionales_spee")</formula1>
    </dataValidation>
    <dataValidation type="list" allowBlank="1" showInputMessage="1" showErrorMessage="1" sqref="O2" xr:uid="{00000000-0002-0000-0A00-000005000000}">
      <formula1>INDIRECT("tipo_proyecto")</formula1>
    </dataValidation>
    <dataValidation type="list" allowBlank="1" showInputMessage="1" showErrorMessage="1" sqref="P2" xr:uid="{00000000-0002-0000-0A00-000006000000}">
      <formula1>INDIRECT("estado_proyecto")</formula1>
    </dataValidation>
    <dataValidation type="list" allowBlank="1" showInputMessage="1" showErrorMessage="1" sqref="Q2" xr:uid="{00000000-0002-0000-0A00-000007000000}">
      <formula1>INDIRECT("etapa_ejecucion_proyecto")</formula1>
    </dataValidation>
    <dataValidation type="list" allowBlank="1" showInputMessage="1" showErrorMessage="1" sqref="BK2" xr:uid="{00000000-0002-0000-0A00-000008000000}">
      <formula1>INDIRECT("tipo_permiso_ambiental")</formula1>
    </dataValidation>
  </dataValidations>
  <pageMargins left="0.7" right="0.7" top="0.75" bottom="0.75" header="0.3" footer="0.3"/>
  <pageSetup paperSize="9" scale="1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8"/>
  <dimension ref="A1:BL2"/>
  <sheetViews>
    <sheetView showGridLines="0" tabSelected="1" view="pageBreakPreview" topLeftCell="O1" zoomScaleNormal="100" zoomScaleSheetLayoutView="100" workbookViewId="0">
      <selection activeCell="S14" sqref="S14"/>
    </sheetView>
  </sheetViews>
  <sheetFormatPr baseColWidth="10" defaultColWidth="14.42578125" defaultRowHeight="15" customHeight="1" x14ac:dyDescent="0.25"/>
  <cols>
    <col min="1" max="1" width="22" style="148" bestFit="1" customWidth="1"/>
    <col min="2" max="2" width="22.140625" style="148" customWidth="1"/>
    <col min="3" max="3" width="21.140625" style="148" customWidth="1"/>
    <col min="4" max="4" width="22.140625" style="148" customWidth="1"/>
    <col min="5" max="5" width="46.7109375" style="148" customWidth="1"/>
    <col min="6" max="6" width="20.28515625" style="148" customWidth="1"/>
    <col min="7" max="7" width="13.140625" style="148" customWidth="1"/>
    <col min="8" max="8" width="14.42578125" style="148" customWidth="1"/>
    <col min="9" max="10" width="13.28515625" style="148" customWidth="1"/>
    <col min="11" max="11" width="20" style="148" customWidth="1"/>
    <col min="12" max="12" width="20.42578125" style="148" customWidth="1"/>
    <col min="13" max="13" width="29.5703125" style="148" customWidth="1"/>
    <col min="14" max="14" width="28.5703125" style="151" customWidth="1"/>
    <col min="15" max="15" width="27.85546875" style="151" customWidth="1"/>
    <col min="16" max="16" width="26.42578125" style="148" customWidth="1"/>
    <col min="17" max="17" width="28.140625" style="148" customWidth="1"/>
    <col min="18" max="18" width="23.5703125" style="148" customWidth="1"/>
    <col min="19" max="19" width="37.140625" style="148" customWidth="1"/>
    <col min="20" max="20" width="23.85546875" style="148" customWidth="1"/>
    <col min="21" max="21" width="23.140625" style="148" customWidth="1"/>
    <col min="22" max="22" width="21.85546875" style="148" customWidth="1"/>
    <col min="23" max="23" width="17.85546875" style="148" customWidth="1"/>
    <col min="24" max="24" width="27.5703125" style="148" customWidth="1"/>
    <col min="25" max="25" width="20" style="148" customWidth="1"/>
    <col min="26" max="27" width="17.85546875" style="148" customWidth="1"/>
    <col min="28" max="28" width="21.85546875" style="148" customWidth="1"/>
    <col min="29" max="29" width="28.140625" style="148" customWidth="1"/>
    <col min="30" max="30" width="18.5703125" style="148" customWidth="1"/>
    <col min="31" max="31" width="17.85546875" style="148" customWidth="1"/>
    <col min="32" max="32" width="19.5703125" style="148" customWidth="1"/>
    <col min="33" max="33" width="18.140625" style="148" customWidth="1"/>
    <col min="34" max="34" width="19.28515625" style="148" customWidth="1"/>
    <col min="35" max="35" width="17.85546875" style="148" customWidth="1"/>
    <col min="36" max="36" width="18.28515625" style="148" customWidth="1"/>
    <col min="37" max="37" width="17.85546875" style="148" customWidth="1"/>
    <col min="38" max="38" width="18.140625" style="148" customWidth="1"/>
    <col min="39" max="39" width="17.85546875" style="148" customWidth="1"/>
    <col min="40" max="40" width="18.28515625" style="148" customWidth="1"/>
    <col min="41" max="41" width="17.85546875" style="148" customWidth="1"/>
    <col min="42" max="42" width="18.85546875" style="148" customWidth="1"/>
    <col min="43" max="43" width="17.85546875" style="148" customWidth="1"/>
    <col min="44" max="44" width="18.5703125" style="148" customWidth="1"/>
    <col min="45" max="45" width="16.85546875" style="148" customWidth="1"/>
    <col min="46" max="46" width="18.28515625" style="148" customWidth="1"/>
    <col min="47" max="47" width="17.85546875" style="148" customWidth="1"/>
    <col min="48" max="48" width="19" style="148" customWidth="1"/>
    <col min="49" max="49" width="16.42578125" style="148" customWidth="1"/>
    <col min="50" max="50" width="18.28515625" style="148" customWidth="1"/>
    <col min="51" max="51" width="16.85546875" style="148" customWidth="1"/>
    <col min="52" max="52" width="20.28515625" style="148" customWidth="1"/>
    <col min="53" max="53" width="19" style="148" customWidth="1"/>
    <col min="54" max="54" width="19.5703125" style="148" customWidth="1"/>
    <col min="55" max="55" width="18.140625" style="148" customWidth="1"/>
    <col min="56" max="56" width="23.140625" style="148" customWidth="1"/>
    <col min="57" max="57" width="20" style="148" customWidth="1"/>
    <col min="58" max="58" width="17.7109375" style="148" bestFit="1" customWidth="1"/>
    <col min="59" max="59" width="21.85546875" style="148" bestFit="1" customWidth="1"/>
    <col min="60" max="60" width="20.42578125" style="148" bestFit="1" customWidth="1"/>
    <col min="61" max="62" width="23.140625" style="148" customWidth="1"/>
    <col min="63" max="63" width="55" style="148" customWidth="1"/>
    <col min="64" max="64" width="4.85546875" style="148" customWidth="1"/>
    <col min="65" max="16384" width="14.42578125" style="148"/>
  </cols>
  <sheetData>
    <row r="1" spans="1:64" ht="25.5" x14ac:dyDescent="0.25">
      <c r="A1" s="153" t="s">
        <v>88</v>
      </c>
      <c r="B1" s="153" t="s">
        <v>34</v>
      </c>
      <c r="C1" s="153" t="s">
        <v>92</v>
      </c>
      <c r="D1" s="153" t="s">
        <v>90</v>
      </c>
      <c r="E1" s="153" t="s">
        <v>36</v>
      </c>
      <c r="F1" s="153" t="s">
        <v>37</v>
      </c>
      <c r="G1" s="154" t="s">
        <v>38</v>
      </c>
      <c r="H1" s="154" t="s">
        <v>39</v>
      </c>
      <c r="I1" s="154" t="s">
        <v>40</v>
      </c>
      <c r="J1" s="154" t="s">
        <v>296</v>
      </c>
      <c r="K1" s="153" t="s">
        <v>26</v>
      </c>
      <c r="L1" s="153" t="s">
        <v>41</v>
      </c>
      <c r="M1" s="153" t="s">
        <v>91</v>
      </c>
      <c r="N1" s="164" t="s">
        <v>42</v>
      </c>
      <c r="O1" s="167" t="s">
        <v>43</v>
      </c>
      <c r="P1" s="153" t="s">
        <v>44</v>
      </c>
      <c r="Q1" s="153" t="s">
        <v>45</v>
      </c>
      <c r="R1" s="153" t="s">
        <v>46</v>
      </c>
      <c r="S1" s="153" t="s">
        <v>85</v>
      </c>
      <c r="T1" s="153" t="s">
        <v>48</v>
      </c>
      <c r="U1" s="153" t="s">
        <v>299</v>
      </c>
      <c r="V1" s="153" t="s">
        <v>29</v>
      </c>
      <c r="W1" s="153" t="s">
        <v>30</v>
      </c>
      <c r="X1" s="153" t="s">
        <v>87</v>
      </c>
      <c r="Y1" s="153" t="s">
        <v>31</v>
      </c>
      <c r="Z1" s="154" t="s">
        <v>32</v>
      </c>
      <c r="AA1" s="154" t="s">
        <v>33</v>
      </c>
      <c r="AB1" s="154" t="s">
        <v>298</v>
      </c>
      <c r="AC1" s="153" t="s">
        <v>84</v>
      </c>
      <c r="AD1" s="153" t="s">
        <v>49</v>
      </c>
      <c r="AE1" s="153" t="s">
        <v>50</v>
      </c>
      <c r="AF1" s="153" t="s">
        <v>51</v>
      </c>
      <c r="AG1" s="153" t="s">
        <v>52</v>
      </c>
      <c r="AH1" s="153" t="s">
        <v>53</v>
      </c>
      <c r="AI1" s="153" t="s">
        <v>54</v>
      </c>
      <c r="AJ1" s="153" t="s">
        <v>55</v>
      </c>
      <c r="AK1" s="153" t="s">
        <v>56</v>
      </c>
      <c r="AL1" s="153" t="s">
        <v>57</v>
      </c>
      <c r="AM1" s="153" t="s">
        <v>58</v>
      </c>
      <c r="AN1" s="153" t="s">
        <v>59</v>
      </c>
      <c r="AO1" s="153" t="s">
        <v>60</v>
      </c>
      <c r="AP1" s="153" t="s">
        <v>61</v>
      </c>
      <c r="AQ1" s="153" t="s">
        <v>62</v>
      </c>
      <c r="AR1" s="153" t="s">
        <v>63</v>
      </c>
      <c r="AS1" s="153" t="s">
        <v>64</v>
      </c>
      <c r="AT1" s="153" t="s">
        <v>65</v>
      </c>
      <c r="AU1" s="153" t="s">
        <v>66</v>
      </c>
      <c r="AV1" s="153" t="s">
        <v>67</v>
      </c>
      <c r="AW1" s="153" t="s">
        <v>68</v>
      </c>
      <c r="AX1" s="153" t="s">
        <v>69</v>
      </c>
      <c r="AY1" s="153" t="s">
        <v>70</v>
      </c>
      <c r="AZ1" s="153" t="s">
        <v>71</v>
      </c>
      <c r="BA1" s="153" t="s">
        <v>72</v>
      </c>
      <c r="BB1" s="153" t="s">
        <v>73</v>
      </c>
      <c r="BC1" s="153" t="s">
        <v>74</v>
      </c>
      <c r="BD1" s="153" t="s">
        <v>75</v>
      </c>
      <c r="BE1" s="153" t="s">
        <v>76</v>
      </c>
      <c r="BF1" s="153" t="s">
        <v>77</v>
      </c>
      <c r="BG1" s="153" t="s">
        <v>82</v>
      </c>
      <c r="BH1" s="153" t="s">
        <v>83</v>
      </c>
      <c r="BI1" s="153" t="s">
        <v>80</v>
      </c>
      <c r="BJ1" s="153" t="s">
        <v>302</v>
      </c>
      <c r="BK1" s="153" t="s">
        <v>81</v>
      </c>
      <c r="BL1" s="168"/>
    </row>
    <row r="2" spans="1:64" ht="12.75" x14ac:dyDescent="0.25">
      <c r="A2" s="241"/>
      <c r="C2" s="169"/>
      <c r="D2" s="170"/>
      <c r="E2" s="171"/>
      <c r="F2" s="149"/>
      <c r="G2" s="149"/>
      <c r="H2" s="149"/>
      <c r="I2" s="149"/>
      <c r="K2" s="149"/>
      <c r="L2" s="149"/>
      <c r="M2" s="149"/>
      <c r="N2" s="172"/>
      <c r="O2" s="152" t="str">
        <f>+IF($M2="No iniciado 0%",0%,IF($M2="Elaboración de pliegos 5%",5%,IF($M2="Disponibilidad de pliegos 10%",10%,IF($M2="Publicación del proceso 15%",15%,IF($M2="Resolución de adjudicación 30%",30%,IF($M2="Adjudicación y firma de contrato 40%",40%,IF($M2="En ejecución 41% - 90%",(40%+($N2*50%)),IF($M2="Acta de entrega - recepción 95%",IF($N2=100%,95%,""),IF($M2="Registro contable 100%",IF($N2=100%,100%,""),"")))))))))</f>
        <v/>
      </c>
      <c r="P2" s="173"/>
      <c r="Q2" s="173"/>
      <c r="R2" s="149"/>
      <c r="S2" s="238"/>
      <c r="T2" s="238"/>
      <c r="U2" s="238"/>
      <c r="V2" s="238"/>
      <c r="W2" s="287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8"/>
      <c r="AV2" s="238"/>
      <c r="AW2" s="238"/>
      <c r="AX2" s="238"/>
      <c r="AY2" s="238"/>
      <c r="AZ2" s="238"/>
      <c r="BA2" s="238"/>
      <c r="BB2" s="238"/>
      <c r="BC2" s="238"/>
      <c r="BD2" s="238"/>
      <c r="BE2" s="238"/>
      <c r="BF2" s="174"/>
      <c r="BG2" s="239"/>
      <c r="BH2" s="239"/>
      <c r="BI2" s="240"/>
      <c r="BJ2" s="240"/>
      <c r="BK2" s="176"/>
      <c r="BL2" s="177"/>
    </row>
  </sheetData>
  <dataValidations count="7">
    <dataValidation type="custom" allowBlank="1" showInputMessage="1" showErrorMessage="1" error="Solo se permiten datos numericos" sqref="N2:O2 S2:V2 X2:BE2" xr:uid="{00000000-0002-0000-0B00-000000000000}">
      <formula1>ISNUMBER(N2)</formula1>
    </dataValidation>
    <dataValidation type="list" allowBlank="1" showInputMessage="1" showErrorMessage="1" sqref="B2 J2" xr:uid="{00000000-0002-0000-0B00-000001000000}">
      <formula1>"Sí,No"</formula1>
    </dataValidation>
    <dataValidation type="list" allowBlank="1" showInputMessage="1" showErrorMessage="1" sqref="K2" xr:uid="{00000000-0002-0000-0B00-000002000000}">
      <formula1>INDIRECT("etapas_funcionales_spee")</formula1>
    </dataValidation>
    <dataValidation type="list" allowBlank="1" showInputMessage="1" showErrorMessage="1" sqref="BF2" xr:uid="{00000000-0002-0000-0B00-000003000000}">
      <formula1>INDIRECT("tipo_permiso_ambiental")</formula1>
    </dataValidation>
    <dataValidation type="list" allowBlank="1" showInputMessage="1" showErrorMessage="1" sqref="L2" xr:uid="{00000000-0002-0000-0B00-000004000000}">
      <formula1>INDIRECT("estado_proyecto")</formula1>
    </dataValidation>
    <dataValidation type="list" allowBlank="1" showInputMessage="1" showErrorMessage="1" sqref="M2" xr:uid="{00000000-0002-0000-0B00-000005000000}">
      <formula1>INDIRECT("etapa_ejecucion_proyecto")</formula1>
    </dataValidation>
    <dataValidation type="list" allowBlank="1" showInputMessage="1" showErrorMessage="1" error="Solo se permiten datos de tipo texto" sqref="A2" xr:uid="{00000000-0002-0000-0B00-000006000000}">
      <formula1>INDIRECT("distribuidoras")</formula1>
    </dataValidation>
  </dataValidations>
  <pageMargins left="0.7" right="0.7" top="0.75" bottom="0.75" header="0.3" footer="0.3"/>
  <pageSetup paperSize="9" scale="10" orientation="portrait" horizontalDpi="90" verticalDpi="9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showGridLines="0" view="pageBreakPreview" zoomScaleNormal="100" zoomScaleSheetLayoutView="100" workbookViewId="0">
      <selection activeCell="B4" sqref="B4"/>
    </sheetView>
  </sheetViews>
  <sheetFormatPr baseColWidth="10" defaultColWidth="9.140625" defaultRowHeight="12.75" x14ac:dyDescent="0.2"/>
  <cols>
    <col min="1" max="1" width="31" style="182" customWidth="1"/>
    <col min="2" max="4" width="19" style="182" customWidth="1"/>
    <col min="5" max="5" width="19.5703125" style="182" bestFit="1" customWidth="1"/>
    <col min="6" max="9" width="19" style="182" customWidth="1"/>
    <col min="10" max="10" width="4.140625" style="182" customWidth="1"/>
    <col min="11" max="31" width="19" style="182" customWidth="1"/>
    <col min="32" max="255" width="9.140625" style="182"/>
    <col min="256" max="256" width="3.140625" style="182" customWidth="1"/>
    <col min="257" max="257" width="4.7109375" style="182" bestFit="1" customWidth="1"/>
    <col min="258" max="258" width="28.5703125" style="182" customWidth="1"/>
    <col min="259" max="259" width="32.28515625" style="182" customWidth="1"/>
    <col min="260" max="260" width="14.85546875" style="182" customWidth="1"/>
    <col min="261" max="261" width="15.7109375" style="182" customWidth="1"/>
    <col min="262" max="262" width="19.42578125" style="182" customWidth="1"/>
    <col min="263" max="263" width="18.5703125" style="182" customWidth="1"/>
    <col min="264" max="264" width="17.85546875" style="182" customWidth="1"/>
    <col min="265" max="287" width="19" style="182" customWidth="1"/>
    <col min="288" max="511" width="9.140625" style="182"/>
    <col min="512" max="512" width="3.140625" style="182" customWidth="1"/>
    <col min="513" max="513" width="4.7109375" style="182" bestFit="1" customWidth="1"/>
    <col min="514" max="514" width="28.5703125" style="182" customWidth="1"/>
    <col min="515" max="515" width="32.28515625" style="182" customWidth="1"/>
    <col min="516" max="516" width="14.85546875" style="182" customWidth="1"/>
    <col min="517" max="517" width="15.7109375" style="182" customWidth="1"/>
    <col min="518" max="518" width="19.42578125" style="182" customWidth="1"/>
    <col min="519" max="519" width="18.5703125" style="182" customWidth="1"/>
    <col min="520" max="520" width="17.85546875" style="182" customWidth="1"/>
    <col min="521" max="543" width="19" style="182" customWidth="1"/>
    <col min="544" max="767" width="9.140625" style="182"/>
    <col min="768" max="768" width="3.140625" style="182" customWidth="1"/>
    <col min="769" max="769" width="4.7109375" style="182" bestFit="1" customWidth="1"/>
    <col min="770" max="770" width="28.5703125" style="182" customWidth="1"/>
    <col min="771" max="771" width="32.28515625" style="182" customWidth="1"/>
    <col min="772" max="772" width="14.85546875" style="182" customWidth="1"/>
    <col min="773" max="773" width="15.7109375" style="182" customWidth="1"/>
    <col min="774" max="774" width="19.42578125" style="182" customWidth="1"/>
    <col min="775" max="775" width="18.5703125" style="182" customWidth="1"/>
    <col min="776" max="776" width="17.85546875" style="182" customWidth="1"/>
    <col min="777" max="799" width="19" style="182" customWidth="1"/>
    <col min="800" max="1023" width="9.140625" style="182"/>
    <col min="1024" max="1024" width="3.140625" style="182" customWidth="1"/>
    <col min="1025" max="1025" width="4.7109375" style="182" bestFit="1" customWidth="1"/>
    <col min="1026" max="1026" width="28.5703125" style="182" customWidth="1"/>
    <col min="1027" max="1027" width="32.28515625" style="182" customWidth="1"/>
    <col min="1028" max="1028" width="14.85546875" style="182" customWidth="1"/>
    <col min="1029" max="1029" width="15.7109375" style="182" customWidth="1"/>
    <col min="1030" max="1030" width="19.42578125" style="182" customWidth="1"/>
    <col min="1031" max="1031" width="18.5703125" style="182" customWidth="1"/>
    <col min="1032" max="1032" width="17.85546875" style="182" customWidth="1"/>
    <col min="1033" max="1055" width="19" style="182" customWidth="1"/>
    <col min="1056" max="1279" width="9.140625" style="182"/>
    <col min="1280" max="1280" width="3.140625" style="182" customWidth="1"/>
    <col min="1281" max="1281" width="4.7109375" style="182" bestFit="1" customWidth="1"/>
    <col min="1282" max="1282" width="28.5703125" style="182" customWidth="1"/>
    <col min="1283" max="1283" width="32.28515625" style="182" customWidth="1"/>
    <col min="1284" max="1284" width="14.85546875" style="182" customWidth="1"/>
    <col min="1285" max="1285" width="15.7109375" style="182" customWidth="1"/>
    <col min="1286" max="1286" width="19.42578125" style="182" customWidth="1"/>
    <col min="1287" max="1287" width="18.5703125" style="182" customWidth="1"/>
    <col min="1288" max="1288" width="17.85546875" style="182" customWidth="1"/>
    <col min="1289" max="1311" width="19" style="182" customWidth="1"/>
    <col min="1312" max="1535" width="9.140625" style="182"/>
    <col min="1536" max="1536" width="3.140625" style="182" customWidth="1"/>
    <col min="1537" max="1537" width="4.7109375" style="182" bestFit="1" customWidth="1"/>
    <col min="1538" max="1538" width="28.5703125" style="182" customWidth="1"/>
    <col min="1539" max="1539" width="32.28515625" style="182" customWidth="1"/>
    <col min="1540" max="1540" width="14.85546875" style="182" customWidth="1"/>
    <col min="1541" max="1541" width="15.7109375" style="182" customWidth="1"/>
    <col min="1542" max="1542" width="19.42578125" style="182" customWidth="1"/>
    <col min="1543" max="1543" width="18.5703125" style="182" customWidth="1"/>
    <col min="1544" max="1544" width="17.85546875" style="182" customWidth="1"/>
    <col min="1545" max="1567" width="19" style="182" customWidth="1"/>
    <col min="1568" max="1791" width="9.140625" style="182"/>
    <col min="1792" max="1792" width="3.140625" style="182" customWidth="1"/>
    <col min="1793" max="1793" width="4.7109375" style="182" bestFit="1" customWidth="1"/>
    <col min="1794" max="1794" width="28.5703125" style="182" customWidth="1"/>
    <col min="1795" max="1795" width="32.28515625" style="182" customWidth="1"/>
    <col min="1796" max="1796" width="14.85546875" style="182" customWidth="1"/>
    <col min="1797" max="1797" width="15.7109375" style="182" customWidth="1"/>
    <col min="1798" max="1798" width="19.42578125" style="182" customWidth="1"/>
    <col min="1799" max="1799" width="18.5703125" style="182" customWidth="1"/>
    <col min="1800" max="1800" width="17.85546875" style="182" customWidth="1"/>
    <col min="1801" max="1823" width="19" style="182" customWidth="1"/>
    <col min="1824" max="2047" width="9.140625" style="182"/>
    <col min="2048" max="2048" width="3.140625" style="182" customWidth="1"/>
    <col min="2049" max="2049" width="4.7109375" style="182" bestFit="1" customWidth="1"/>
    <col min="2050" max="2050" width="28.5703125" style="182" customWidth="1"/>
    <col min="2051" max="2051" width="32.28515625" style="182" customWidth="1"/>
    <col min="2052" max="2052" width="14.85546875" style="182" customWidth="1"/>
    <col min="2053" max="2053" width="15.7109375" style="182" customWidth="1"/>
    <col min="2054" max="2054" width="19.42578125" style="182" customWidth="1"/>
    <col min="2055" max="2055" width="18.5703125" style="182" customWidth="1"/>
    <col min="2056" max="2056" width="17.85546875" style="182" customWidth="1"/>
    <col min="2057" max="2079" width="19" style="182" customWidth="1"/>
    <col min="2080" max="2303" width="9.140625" style="182"/>
    <col min="2304" max="2304" width="3.140625" style="182" customWidth="1"/>
    <col min="2305" max="2305" width="4.7109375" style="182" bestFit="1" customWidth="1"/>
    <col min="2306" max="2306" width="28.5703125" style="182" customWidth="1"/>
    <col min="2307" max="2307" width="32.28515625" style="182" customWidth="1"/>
    <col min="2308" max="2308" width="14.85546875" style="182" customWidth="1"/>
    <col min="2309" max="2309" width="15.7109375" style="182" customWidth="1"/>
    <col min="2310" max="2310" width="19.42578125" style="182" customWidth="1"/>
    <col min="2311" max="2311" width="18.5703125" style="182" customWidth="1"/>
    <col min="2312" max="2312" width="17.85546875" style="182" customWidth="1"/>
    <col min="2313" max="2335" width="19" style="182" customWidth="1"/>
    <col min="2336" max="2559" width="9.140625" style="182"/>
    <col min="2560" max="2560" width="3.140625" style="182" customWidth="1"/>
    <col min="2561" max="2561" width="4.7109375" style="182" bestFit="1" customWidth="1"/>
    <col min="2562" max="2562" width="28.5703125" style="182" customWidth="1"/>
    <col min="2563" max="2563" width="32.28515625" style="182" customWidth="1"/>
    <col min="2564" max="2564" width="14.85546875" style="182" customWidth="1"/>
    <col min="2565" max="2565" width="15.7109375" style="182" customWidth="1"/>
    <col min="2566" max="2566" width="19.42578125" style="182" customWidth="1"/>
    <col min="2567" max="2567" width="18.5703125" style="182" customWidth="1"/>
    <col min="2568" max="2568" width="17.85546875" style="182" customWidth="1"/>
    <col min="2569" max="2591" width="19" style="182" customWidth="1"/>
    <col min="2592" max="2815" width="9.140625" style="182"/>
    <col min="2816" max="2816" width="3.140625" style="182" customWidth="1"/>
    <col min="2817" max="2817" width="4.7109375" style="182" bestFit="1" customWidth="1"/>
    <col min="2818" max="2818" width="28.5703125" style="182" customWidth="1"/>
    <col min="2819" max="2819" width="32.28515625" style="182" customWidth="1"/>
    <col min="2820" max="2820" width="14.85546875" style="182" customWidth="1"/>
    <col min="2821" max="2821" width="15.7109375" style="182" customWidth="1"/>
    <col min="2822" max="2822" width="19.42578125" style="182" customWidth="1"/>
    <col min="2823" max="2823" width="18.5703125" style="182" customWidth="1"/>
    <col min="2824" max="2824" width="17.85546875" style="182" customWidth="1"/>
    <col min="2825" max="2847" width="19" style="182" customWidth="1"/>
    <col min="2848" max="3071" width="9.140625" style="182"/>
    <col min="3072" max="3072" width="3.140625" style="182" customWidth="1"/>
    <col min="3073" max="3073" width="4.7109375" style="182" bestFit="1" customWidth="1"/>
    <col min="3074" max="3074" width="28.5703125" style="182" customWidth="1"/>
    <col min="3075" max="3075" width="32.28515625" style="182" customWidth="1"/>
    <col min="3076" max="3076" width="14.85546875" style="182" customWidth="1"/>
    <col min="3077" max="3077" width="15.7109375" style="182" customWidth="1"/>
    <col min="3078" max="3078" width="19.42578125" style="182" customWidth="1"/>
    <col min="3079" max="3079" width="18.5703125" style="182" customWidth="1"/>
    <col min="3080" max="3080" width="17.85546875" style="182" customWidth="1"/>
    <col min="3081" max="3103" width="19" style="182" customWidth="1"/>
    <col min="3104" max="3327" width="9.140625" style="182"/>
    <col min="3328" max="3328" width="3.140625" style="182" customWidth="1"/>
    <col min="3329" max="3329" width="4.7109375" style="182" bestFit="1" customWidth="1"/>
    <col min="3330" max="3330" width="28.5703125" style="182" customWidth="1"/>
    <col min="3331" max="3331" width="32.28515625" style="182" customWidth="1"/>
    <col min="3332" max="3332" width="14.85546875" style="182" customWidth="1"/>
    <col min="3333" max="3333" width="15.7109375" style="182" customWidth="1"/>
    <col min="3334" max="3334" width="19.42578125" style="182" customWidth="1"/>
    <col min="3335" max="3335" width="18.5703125" style="182" customWidth="1"/>
    <col min="3336" max="3336" width="17.85546875" style="182" customWidth="1"/>
    <col min="3337" max="3359" width="19" style="182" customWidth="1"/>
    <col min="3360" max="3583" width="9.140625" style="182"/>
    <col min="3584" max="3584" width="3.140625" style="182" customWidth="1"/>
    <col min="3585" max="3585" width="4.7109375" style="182" bestFit="1" customWidth="1"/>
    <col min="3586" max="3586" width="28.5703125" style="182" customWidth="1"/>
    <col min="3587" max="3587" width="32.28515625" style="182" customWidth="1"/>
    <col min="3588" max="3588" width="14.85546875" style="182" customWidth="1"/>
    <col min="3589" max="3589" width="15.7109375" style="182" customWidth="1"/>
    <col min="3590" max="3590" width="19.42578125" style="182" customWidth="1"/>
    <col min="3591" max="3591" width="18.5703125" style="182" customWidth="1"/>
    <col min="3592" max="3592" width="17.85546875" style="182" customWidth="1"/>
    <col min="3593" max="3615" width="19" style="182" customWidth="1"/>
    <col min="3616" max="3839" width="9.140625" style="182"/>
    <col min="3840" max="3840" width="3.140625" style="182" customWidth="1"/>
    <col min="3841" max="3841" width="4.7109375" style="182" bestFit="1" customWidth="1"/>
    <col min="3842" max="3842" width="28.5703125" style="182" customWidth="1"/>
    <col min="3843" max="3843" width="32.28515625" style="182" customWidth="1"/>
    <col min="3844" max="3844" width="14.85546875" style="182" customWidth="1"/>
    <col min="3845" max="3845" width="15.7109375" style="182" customWidth="1"/>
    <col min="3846" max="3846" width="19.42578125" style="182" customWidth="1"/>
    <col min="3847" max="3847" width="18.5703125" style="182" customWidth="1"/>
    <col min="3848" max="3848" width="17.85546875" style="182" customWidth="1"/>
    <col min="3849" max="3871" width="19" style="182" customWidth="1"/>
    <col min="3872" max="4095" width="9.140625" style="182"/>
    <col min="4096" max="4096" width="3.140625" style="182" customWidth="1"/>
    <col min="4097" max="4097" width="4.7109375" style="182" bestFit="1" customWidth="1"/>
    <col min="4098" max="4098" width="28.5703125" style="182" customWidth="1"/>
    <col min="4099" max="4099" width="32.28515625" style="182" customWidth="1"/>
    <col min="4100" max="4100" width="14.85546875" style="182" customWidth="1"/>
    <col min="4101" max="4101" width="15.7109375" style="182" customWidth="1"/>
    <col min="4102" max="4102" width="19.42578125" style="182" customWidth="1"/>
    <col min="4103" max="4103" width="18.5703125" style="182" customWidth="1"/>
    <col min="4104" max="4104" width="17.85546875" style="182" customWidth="1"/>
    <col min="4105" max="4127" width="19" style="182" customWidth="1"/>
    <col min="4128" max="4351" width="9.140625" style="182"/>
    <col min="4352" max="4352" width="3.140625" style="182" customWidth="1"/>
    <col min="4353" max="4353" width="4.7109375" style="182" bestFit="1" customWidth="1"/>
    <col min="4354" max="4354" width="28.5703125" style="182" customWidth="1"/>
    <col min="4355" max="4355" width="32.28515625" style="182" customWidth="1"/>
    <col min="4356" max="4356" width="14.85546875" style="182" customWidth="1"/>
    <col min="4357" max="4357" width="15.7109375" style="182" customWidth="1"/>
    <col min="4358" max="4358" width="19.42578125" style="182" customWidth="1"/>
    <col min="4359" max="4359" width="18.5703125" style="182" customWidth="1"/>
    <col min="4360" max="4360" width="17.85546875" style="182" customWidth="1"/>
    <col min="4361" max="4383" width="19" style="182" customWidth="1"/>
    <col min="4384" max="4607" width="9.140625" style="182"/>
    <col min="4608" max="4608" width="3.140625" style="182" customWidth="1"/>
    <col min="4609" max="4609" width="4.7109375" style="182" bestFit="1" customWidth="1"/>
    <col min="4610" max="4610" width="28.5703125" style="182" customWidth="1"/>
    <col min="4611" max="4611" width="32.28515625" style="182" customWidth="1"/>
    <col min="4612" max="4612" width="14.85546875" style="182" customWidth="1"/>
    <col min="4613" max="4613" width="15.7109375" style="182" customWidth="1"/>
    <col min="4614" max="4614" width="19.42578125" style="182" customWidth="1"/>
    <col min="4615" max="4615" width="18.5703125" style="182" customWidth="1"/>
    <col min="4616" max="4616" width="17.85546875" style="182" customWidth="1"/>
    <col min="4617" max="4639" width="19" style="182" customWidth="1"/>
    <col min="4640" max="4863" width="9.140625" style="182"/>
    <col min="4864" max="4864" width="3.140625" style="182" customWidth="1"/>
    <col min="4865" max="4865" width="4.7109375" style="182" bestFit="1" customWidth="1"/>
    <col min="4866" max="4866" width="28.5703125" style="182" customWidth="1"/>
    <col min="4867" max="4867" width="32.28515625" style="182" customWidth="1"/>
    <col min="4868" max="4868" width="14.85546875" style="182" customWidth="1"/>
    <col min="4869" max="4869" width="15.7109375" style="182" customWidth="1"/>
    <col min="4870" max="4870" width="19.42578125" style="182" customWidth="1"/>
    <col min="4871" max="4871" width="18.5703125" style="182" customWidth="1"/>
    <col min="4872" max="4872" width="17.85546875" style="182" customWidth="1"/>
    <col min="4873" max="4895" width="19" style="182" customWidth="1"/>
    <col min="4896" max="5119" width="9.140625" style="182"/>
    <col min="5120" max="5120" width="3.140625" style="182" customWidth="1"/>
    <col min="5121" max="5121" width="4.7109375" style="182" bestFit="1" customWidth="1"/>
    <col min="5122" max="5122" width="28.5703125" style="182" customWidth="1"/>
    <col min="5123" max="5123" width="32.28515625" style="182" customWidth="1"/>
    <col min="5124" max="5124" width="14.85546875" style="182" customWidth="1"/>
    <col min="5125" max="5125" width="15.7109375" style="182" customWidth="1"/>
    <col min="5126" max="5126" width="19.42578125" style="182" customWidth="1"/>
    <col min="5127" max="5127" width="18.5703125" style="182" customWidth="1"/>
    <col min="5128" max="5128" width="17.85546875" style="182" customWidth="1"/>
    <col min="5129" max="5151" width="19" style="182" customWidth="1"/>
    <col min="5152" max="5375" width="9.140625" style="182"/>
    <col min="5376" max="5376" width="3.140625" style="182" customWidth="1"/>
    <col min="5377" max="5377" width="4.7109375" style="182" bestFit="1" customWidth="1"/>
    <col min="5378" max="5378" width="28.5703125" style="182" customWidth="1"/>
    <col min="5379" max="5379" width="32.28515625" style="182" customWidth="1"/>
    <col min="5380" max="5380" width="14.85546875" style="182" customWidth="1"/>
    <col min="5381" max="5381" width="15.7109375" style="182" customWidth="1"/>
    <col min="5382" max="5382" width="19.42578125" style="182" customWidth="1"/>
    <col min="5383" max="5383" width="18.5703125" style="182" customWidth="1"/>
    <col min="5384" max="5384" width="17.85546875" style="182" customWidth="1"/>
    <col min="5385" max="5407" width="19" style="182" customWidth="1"/>
    <col min="5408" max="5631" width="9.140625" style="182"/>
    <col min="5632" max="5632" width="3.140625" style="182" customWidth="1"/>
    <col min="5633" max="5633" width="4.7109375" style="182" bestFit="1" customWidth="1"/>
    <col min="5634" max="5634" width="28.5703125" style="182" customWidth="1"/>
    <col min="5635" max="5635" width="32.28515625" style="182" customWidth="1"/>
    <col min="5636" max="5636" width="14.85546875" style="182" customWidth="1"/>
    <col min="5637" max="5637" width="15.7109375" style="182" customWidth="1"/>
    <col min="5638" max="5638" width="19.42578125" style="182" customWidth="1"/>
    <col min="5639" max="5639" width="18.5703125" style="182" customWidth="1"/>
    <col min="5640" max="5640" width="17.85546875" style="182" customWidth="1"/>
    <col min="5641" max="5663" width="19" style="182" customWidth="1"/>
    <col min="5664" max="5887" width="9.140625" style="182"/>
    <col min="5888" max="5888" width="3.140625" style="182" customWidth="1"/>
    <col min="5889" max="5889" width="4.7109375" style="182" bestFit="1" customWidth="1"/>
    <col min="5890" max="5890" width="28.5703125" style="182" customWidth="1"/>
    <col min="5891" max="5891" width="32.28515625" style="182" customWidth="1"/>
    <col min="5892" max="5892" width="14.85546875" style="182" customWidth="1"/>
    <col min="5893" max="5893" width="15.7109375" style="182" customWidth="1"/>
    <col min="5894" max="5894" width="19.42578125" style="182" customWidth="1"/>
    <col min="5895" max="5895" width="18.5703125" style="182" customWidth="1"/>
    <col min="5896" max="5896" width="17.85546875" style="182" customWidth="1"/>
    <col min="5897" max="5919" width="19" style="182" customWidth="1"/>
    <col min="5920" max="6143" width="9.140625" style="182"/>
    <col min="6144" max="6144" width="3.140625" style="182" customWidth="1"/>
    <col min="6145" max="6145" width="4.7109375" style="182" bestFit="1" customWidth="1"/>
    <col min="6146" max="6146" width="28.5703125" style="182" customWidth="1"/>
    <col min="6147" max="6147" width="32.28515625" style="182" customWidth="1"/>
    <col min="6148" max="6148" width="14.85546875" style="182" customWidth="1"/>
    <col min="6149" max="6149" width="15.7109375" style="182" customWidth="1"/>
    <col min="6150" max="6150" width="19.42578125" style="182" customWidth="1"/>
    <col min="6151" max="6151" width="18.5703125" style="182" customWidth="1"/>
    <col min="6152" max="6152" width="17.85546875" style="182" customWidth="1"/>
    <col min="6153" max="6175" width="19" style="182" customWidth="1"/>
    <col min="6176" max="6399" width="9.140625" style="182"/>
    <col min="6400" max="6400" width="3.140625" style="182" customWidth="1"/>
    <col min="6401" max="6401" width="4.7109375" style="182" bestFit="1" customWidth="1"/>
    <col min="6402" max="6402" width="28.5703125" style="182" customWidth="1"/>
    <col min="6403" max="6403" width="32.28515625" style="182" customWidth="1"/>
    <col min="6404" max="6404" width="14.85546875" style="182" customWidth="1"/>
    <col min="6405" max="6405" width="15.7109375" style="182" customWidth="1"/>
    <col min="6406" max="6406" width="19.42578125" style="182" customWidth="1"/>
    <col min="6407" max="6407" width="18.5703125" style="182" customWidth="1"/>
    <col min="6408" max="6408" width="17.85546875" style="182" customWidth="1"/>
    <col min="6409" max="6431" width="19" style="182" customWidth="1"/>
    <col min="6432" max="6655" width="9.140625" style="182"/>
    <col min="6656" max="6656" width="3.140625" style="182" customWidth="1"/>
    <col min="6657" max="6657" width="4.7109375" style="182" bestFit="1" customWidth="1"/>
    <col min="6658" max="6658" width="28.5703125" style="182" customWidth="1"/>
    <col min="6659" max="6659" width="32.28515625" style="182" customWidth="1"/>
    <col min="6660" max="6660" width="14.85546875" style="182" customWidth="1"/>
    <col min="6661" max="6661" width="15.7109375" style="182" customWidth="1"/>
    <col min="6662" max="6662" width="19.42578125" style="182" customWidth="1"/>
    <col min="6663" max="6663" width="18.5703125" style="182" customWidth="1"/>
    <col min="6664" max="6664" width="17.85546875" style="182" customWidth="1"/>
    <col min="6665" max="6687" width="19" style="182" customWidth="1"/>
    <col min="6688" max="6911" width="9.140625" style="182"/>
    <col min="6912" max="6912" width="3.140625" style="182" customWidth="1"/>
    <col min="6913" max="6913" width="4.7109375" style="182" bestFit="1" customWidth="1"/>
    <col min="6914" max="6914" width="28.5703125" style="182" customWidth="1"/>
    <col min="6915" max="6915" width="32.28515625" style="182" customWidth="1"/>
    <col min="6916" max="6916" width="14.85546875" style="182" customWidth="1"/>
    <col min="6917" max="6917" width="15.7109375" style="182" customWidth="1"/>
    <col min="6918" max="6918" width="19.42578125" style="182" customWidth="1"/>
    <col min="6919" max="6919" width="18.5703125" style="182" customWidth="1"/>
    <col min="6920" max="6920" width="17.85546875" style="182" customWidth="1"/>
    <col min="6921" max="6943" width="19" style="182" customWidth="1"/>
    <col min="6944" max="7167" width="9.140625" style="182"/>
    <col min="7168" max="7168" width="3.140625" style="182" customWidth="1"/>
    <col min="7169" max="7169" width="4.7109375" style="182" bestFit="1" customWidth="1"/>
    <col min="7170" max="7170" width="28.5703125" style="182" customWidth="1"/>
    <col min="7171" max="7171" width="32.28515625" style="182" customWidth="1"/>
    <col min="7172" max="7172" width="14.85546875" style="182" customWidth="1"/>
    <col min="7173" max="7173" width="15.7109375" style="182" customWidth="1"/>
    <col min="7174" max="7174" width="19.42578125" style="182" customWidth="1"/>
    <col min="7175" max="7175" width="18.5703125" style="182" customWidth="1"/>
    <col min="7176" max="7176" width="17.85546875" style="182" customWidth="1"/>
    <col min="7177" max="7199" width="19" style="182" customWidth="1"/>
    <col min="7200" max="7423" width="9.140625" style="182"/>
    <col min="7424" max="7424" width="3.140625" style="182" customWidth="1"/>
    <col min="7425" max="7425" width="4.7109375" style="182" bestFit="1" customWidth="1"/>
    <col min="7426" max="7426" width="28.5703125" style="182" customWidth="1"/>
    <col min="7427" max="7427" width="32.28515625" style="182" customWidth="1"/>
    <col min="7428" max="7428" width="14.85546875" style="182" customWidth="1"/>
    <col min="7429" max="7429" width="15.7109375" style="182" customWidth="1"/>
    <col min="7430" max="7430" width="19.42578125" style="182" customWidth="1"/>
    <col min="7431" max="7431" width="18.5703125" style="182" customWidth="1"/>
    <col min="7432" max="7432" width="17.85546875" style="182" customWidth="1"/>
    <col min="7433" max="7455" width="19" style="182" customWidth="1"/>
    <col min="7456" max="7679" width="9.140625" style="182"/>
    <col min="7680" max="7680" width="3.140625" style="182" customWidth="1"/>
    <col min="7681" max="7681" width="4.7109375" style="182" bestFit="1" customWidth="1"/>
    <col min="7682" max="7682" width="28.5703125" style="182" customWidth="1"/>
    <col min="7683" max="7683" width="32.28515625" style="182" customWidth="1"/>
    <col min="7684" max="7684" width="14.85546875" style="182" customWidth="1"/>
    <col min="7685" max="7685" width="15.7109375" style="182" customWidth="1"/>
    <col min="7686" max="7686" width="19.42578125" style="182" customWidth="1"/>
    <col min="7687" max="7687" width="18.5703125" style="182" customWidth="1"/>
    <col min="7688" max="7688" width="17.85546875" style="182" customWidth="1"/>
    <col min="7689" max="7711" width="19" style="182" customWidth="1"/>
    <col min="7712" max="7935" width="9.140625" style="182"/>
    <col min="7936" max="7936" width="3.140625" style="182" customWidth="1"/>
    <col min="7937" max="7937" width="4.7109375" style="182" bestFit="1" customWidth="1"/>
    <col min="7938" max="7938" width="28.5703125" style="182" customWidth="1"/>
    <col min="7939" max="7939" width="32.28515625" style="182" customWidth="1"/>
    <col min="7940" max="7940" width="14.85546875" style="182" customWidth="1"/>
    <col min="7941" max="7941" width="15.7109375" style="182" customWidth="1"/>
    <col min="7942" max="7942" width="19.42578125" style="182" customWidth="1"/>
    <col min="7943" max="7943" width="18.5703125" style="182" customWidth="1"/>
    <col min="7944" max="7944" width="17.85546875" style="182" customWidth="1"/>
    <col min="7945" max="7967" width="19" style="182" customWidth="1"/>
    <col min="7968" max="8191" width="9.140625" style="182"/>
    <col min="8192" max="8192" width="3.140625" style="182" customWidth="1"/>
    <col min="8193" max="8193" width="4.7109375" style="182" bestFit="1" customWidth="1"/>
    <col min="8194" max="8194" width="28.5703125" style="182" customWidth="1"/>
    <col min="8195" max="8195" width="32.28515625" style="182" customWidth="1"/>
    <col min="8196" max="8196" width="14.85546875" style="182" customWidth="1"/>
    <col min="8197" max="8197" width="15.7109375" style="182" customWidth="1"/>
    <col min="8198" max="8198" width="19.42578125" style="182" customWidth="1"/>
    <col min="8199" max="8199" width="18.5703125" style="182" customWidth="1"/>
    <col min="8200" max="8200" width="17.85546875" style="182" customWidth="1"/>
    <col min="8201" max="8223" width="19" style="182" customWidth="1"/>
    <col min="8224" max="8447" width="9.140625" style="182"/>
    <col min="8448" max="8448" width="3.140625" style="182" customWidth="1"/>
    <col min="8449" max="8449" width="4.7109375" style="182" bestFit="1" customWidth="1"/>
    <col min="8450" max="8450" width="28.5703125" style="182" customWidth="1"/>
    <col min="8451" max="8451" width="32.28515625" style="182" customWidth="1"/>
    <col min="8452" max="8452" width="14.85546875" style="182" customWidth="1"/>
    <col min="8453" max="8453" width="15.7109375" style="182" customWidth="1"/>
    <col min="8454" max="8454" width="19.42578125" style="182" customWidth="1"/>
    <col min="8455" max="8455" width="18.5703125" style="182" customWidth="1"/>
    <col min="8456" max="8456" width="17.85546875" style="182" customWidth="1"/>
    <col min="8457" max="8479" width="19" style="182" customWidth="1"/>
    <col min="8480" max="8703" width="9.140625" style="182"/>
    <col min="8704" max="8704" width="3.140625" style="182" customWidth="1"/>
    <col min="8705" max="8705" width="4.7109375" style="182" bestFit="1" customWidth="1"/>
    <col min="8706" max="8706" width="28.5703125" style="182" customWidth="1"/>
    <col min="8707" max="8707" width="32.28515625" style="182" customWidth="1"/>
    <col min="8708" max="8708" width="14.85546875" style="182" customWidth="1"/>
    <col min="8709" max="8709" width="15.7109375" style="182" customWidth="1"/>
    <col min="8710" max="8710" width="19.42578125" style="182" customWidth="1"/>
    <col min="8711" max="8711" width="18.5703125" style="182" customWidth="1"/>
    <col min="8712" max="8712" width="17.85546875" style="182" customWidth="1"/>
    <col min="8713" max="8735" width="19" style="182" customWidth="1"/>
    <col min="8736" max="8959" width="9.140625" style="182"/>
    <col min="8960" max="8960" width="3.140625" style="182" customWidth="1"/>
    <col min="8961" max="8961" width="4.7109375" style="182" bestFit="1" customWidth="1"/>
    <col min="8962" max="8962" width="28.5703125" style="182" customWidth="1"/>
    <col min="8963" max="8963" width="32.28515625" style="182" customWidth="1"/>
    <col min="8964" max="8964" width="14.85546875" style="182" customWidth="1"/>
    <col min="8965" max="8965" width="15.7109375" style="182" customWidth="1"/>
    <col min="8966" max="8966" width="19.42578125" style="182" customWidth="1"/>
    <col min="8967" max="8967" width="18.5703125" style="182" customWidth="1"/>
    <col min="8968" max="8968" width="17.85546875" style="182" customWidth="1"/>
    <col min="8969" max="8991" width="19" style="182" customWidth="1"/>
    <col min="8992" max="9215" width="9.140625" style="182"/>
    <col min="9216" max="9216" width="3.140625" style="182" customWidth="1"/>
    <col min="9217" max="9217" width="4.7109375" style="182" bestFit="1" customWidth="1"/>
    <col min="9218" max="9218" width="28.5703125" style="182" customWidth="1"/>
    <col min="9219" max="9219" width="32.28515625" style="182" customWidth="1"/>
    <col min="9220" max="9220" width="14.85546875" style="182" customWidth="1"/>
    <col min="9221" max="9221" width="15.7109375" style="182" customWidth="1"/>
    <col min="9222" max="9222" width="19.42578125" style="182" customWidth="1"/>
    <col min="9223" max="9223" width="18.5703125" style="182" customWidth="1"/>
    <col min="9224" max="9224" width="17.85546875" style="182" customWidth="1"/>
    <col min="9225" max="9247" width="19" style="182" customWidth="1"/>
    <col min="9248" max="9471" width="9.140625" style="182"/>
    <col min="9472" max="9472" width="3.140625" style="182" customWidth="1"/>
    <col min="9473" max="9473" width="4.7109375" style="182" bestFit="1" customWidth="1"/>
    <col min="9474" max="9474" width="28.5703125" style="182" customWidth="1"/>
    <col min="9475" max="9475" width="32.28515625" style="182" customWidth="1"/>
    <col min="9476" max="9476" width="14.85546875" style="182" customWidth="1"/>
    <col min="9477" max="9477" width="15.7109375" style="182" customWidth="1"/>
    <col min="9478" max="9478" width="19.42578125" style="182" customWidth="1"/>
    <col min="9479" max="9479" width="18.5703125" style="182" customWidth="1"/>
    <col min="9480" max="9480" width="17.85546875" style="182" customWidth="1"/>
    <col min="9481" max="9503" width="19" style="182" customWidth="1"/>
    <col min="9504" max="9727" width="9.140625" style="182"/>
    <col min="9728" max="9728" width="3.140625" style="182" customWidth="1"/>
    <col min="9729" max="9729" width="4.7109375" style="182" bestFit="1" customWidth="1"/>
    <col min="9730" max="9730" width="28.5703125" style="182" customWidth="1"/>
    <col min="9731" max="9731" width="32.28515625" style="182" customWidth="1"/>
    <col min="9732" max="9732" width="14.85546875" style="182" customWidth="1"/>
    <col min="9733" max="9733" width="15.7109375" style="182" customWidth="1"/>
    <col min="9734" max="9734" width="19.42578125" style="182" customWidth="1"/>
    <col min="9735" max="9735" width="18.5703125" style="182" customWidth="1"/>
    <col min="9736" max="9736" width="17.85546875" style="182" customWidth="1"/>
    <col min="9737" max="9759" width="19" style="182" customWidth="1"/>
    <col min="9760" max="9983" width="9.140625" style="182"/>
    <col min="9984" max="9984" width="3.140625" style="182" customWidth="1"/>
    <col min="9985" max="9985" width="4.7109375" style="182" bestFit="1" customWidth="1"/>
    <col min="9986" max="9986" width="28.5703125" style="182" customWidth="1"/>
    <col min="9987" max="9987" width="32.28515625" style="182" customWidth="1"/>
    <col min="9988" max="9988" width="14.85546875" style="182" customWidth="1"/>
    <col min="9989" max="9989" width="15.7109375" style="182" customWidth="1"/>
    <col min="9990" max="9990" width="19.42578125" style="182" customWidth="1"/>
    <col min="9991" max="9991" width="18.5703125" style="182" customWidth="1"/>
    <col min="9992" max="9992" width="17.85546875" style="182" customWidth="1"/>
    <col min="9993" max="10015" width="19" style="182" customWidth="1"/>
    <col min="10016" max="10239" width="9.140625" style="182"/>
    <col min="10240" max="10240" width="3.140625" style="182" customWidth="1"/>
    <col min="10241" max="10241" width="4.7109375" style="182" bestFit="1" customWidth="1"/>
    <col min="10242" max="10242" width="28.5703125" style="182" customWidth="1"/>
    <col min="10243" max="10243" width="32.28515625" style="182" customWidth="1"/>
    <col min="10244" max="10244" width="14.85546875" style="182" customWidth="1"/>
    <col min="10245" max="10245" width="15.7109375" style="182" customWidth="1"/>
    <col min="10246" max="10246" width="19.42578125" style="182" customWidth="1"/>
    <col min="10247" max="10247" width="18.5703125" style="182" customWidth="1"/>
    <col min="10248" max="10248" width="17.85546875" style="182" customWidth="1"/>
    <col min="10249" max="10271" width="19" style="182" customWidth="1"/>
    <col min="10272" max="10495" width="9.140625" style="182"/>
    <col min="10496" max="10496" width="3.140625" style="182" customWidth="1"/>
    <col min="10497" max="10497" width="4.7109375" style="182" bestFit="1" customWidth="1"/>
    <col min="10498" max="10498" width="28.5703125" style="182" customWidth="1"/>
    <col min="10499" max="10499" width="32.28515625" style="182" customWidth="1"/>
    <col min="10500" max="10500" width="14.85546875" style="182" customWidth="1"/>
    <col min="10501" max="10501" width="15.7109375" style="182" customWidth="1"/>
    <col min="10502" max="10502" width="19.42578125" style="182" customWidth="1"/>
    <col min="10503" max="10503" width="18.5703125" style="182" customWidth="1"/>
    <col min="10504" max="10504" width="17.85546875" style="182" customWidth="1"/>
    <col min="10505" max="10527" width="19" style="182" customWidth="1"/>
    <col min="10528" max="10751" width="9.140625" style="182"/>
    <col min="10752" max="10752" width="3.140625" style="182" customWidth="1"/>
    <col min="10753" max="10753" width="4.7109375" style="182" bestFit="1" customWidth="1"/>
    <col min="10754" max="10754" width="28.5703125" style="182" customWidth="1"/>
    <col min="10755" max="10755" width="32.28515625" style="182" customWidth="1"/>
    <col min="10756" max="10756" width="14.85546875" style="182" customWidth="1"/>
    <col min="10757" max="10757" width="15.7109375" style="182" customWidth="1"/>
    <col min="10758" max="10758" width="19.42578125" style="182" customWidth="1"/>
    <col min="10759" max="10759" width="18.5703125" style="182" customWidth="1"/>
    <col min="10760" max="10760" width="17.85546875" style="182" customWidth="1"/>
    <col min="10761" max="10783" width="19" style="182" customWidth="1"/>
    <col min="10784" max="11007" width="9.140625" style="182"/>
    <col min="11008" max="11008" width="3.140625" style="182" customWidth="1"/>
    <col min="11009" max="11009" width="4.7109375" style="182" bestFit="1" customWidth="1"/>
    <col min="11010" max="11010" width="28.5703125" style="182" customWidth="1"/>
    <col min="11011" max="11011" width="32.28515625" style="182" customWidth="1"/>
    <col min="11012" max="11012" width="14.85546875" style="182" customWidth="1"/>
    <col min="11013" max="11013" width="15.7109375" style="182" customWidth="1"/>
    <col min="11014" max="11014" width="19.42578125" style="182" customWidth="1"/>
    <col min="11015" max="11015" width="18.5703125" style="182" customWidth="1"/>
    <col min="11016" max="11016" width="17.85546875" style="182" customWidth="1"/>
    <col min="11017" max="11039" width="19" style="182" customWidth="1"/>
    <col min="11040" max="11263" width="9.140625" style="182"/>
    <col min="11264" max="11264" width="3.140625" style="182" customWidth="1"/>
    <col min="11265" max="11265" width="4.7109375" style="182" bestFit="1" customWidth="1"/>
    <col min="11266" max="11266" width="28.5703125" style="182" customWidth="1"/>
    <col min="11267" max="11267" width="32.28515625" style="182" customWidth="1"/>
    <col min="11268" max="11268" width="14.85546875" style="182" customWidth="1"/>
    <col min="11269" max="11269" width="15.7109375" style="182" customWidth="1"/>
    <col min="11270" max="11270" width="19.42578125" style="182" customWidth="1"/>
    <col min="11271" max="11271" width="18.5703125" style="182" customWidth="1"/>
    <col min="11272" max="11272" width="17.85546875" style="182" customWidth="1"/>
    <col min="11273" max="11295" width="19" style="182" customWidth="1"/>
    <col min="11296" max="11519" width="9.140625" style="182"/>
    <col min="11520" max="11520" width="3.140625" style="182" customWidth="1"/>
    <col min="11521" max="11521" width="4.7109375" style="182" bestFit="1" customWidth="1"/>
    <col min="11522" max="11522" width="28.5703125" style="182" customWidth="1"/>
    <col min="11523" max="11523" width="32.28515625" style="182" customWidth="1"/>
    <col min="11524" max="11524" width="14.85546875" style="182" customWidth="1"/>
    <col min="11525" max="11525" width="15.7109375" style="182" customWidth="1"/>
    <col min="11526" max="11526" width="19.42578125" style="182" customWidth="1"/>
    <col min="11527" max="11527" width="18.5703125" style="182" customWidth="1"/>
    <col min="11528" max="11528" width="17.85546875" style="182" customWidth="1"/>
    <col min="11529" max="11551" width="19" style="182" customWidth="1"/>
    <col min="11552" max="11775" width="9.140625" style="182"/>
    <col min="11776" max="11776" width="3.140625" style="182" customWidth="1"/>
    <col min="11777" max="11777" width="4.7109375" style="182" bestFit="1" customWidth="1"/>
    <col min="11778" max="11778" width="28.5703125" style="182" customWidth="1"/>
    <col min="11779" max="11779" width="32.28515625" style="182" customWidth="1"/>
    <col min="11780" max="11780" width="14.85546875" style="182" customWidth="1"/>
    <col min="11781" max="11781" width="15.7109375" style="182" customWidth="1"/>
    <col min="11782" max="11782" width="19.42578125" style="182" customWidth="1"/>
    <col min="11783" max="11783" width="18.5703125" style="182" customWidth="1"/>
    <col min="11784" max="11784" width="17.85546875" style="182" customWidth="1"/>
    <col min="11785" max="11807" width="19" style="182" customWidth="1"/>
    <col min="11808" max="12031" width="9.140625" style="182"/>
    <col min="12032" max="12032" width="3.140625" style="182" customWidth="1"/>
    <col min="12033" max="12033" width="4.7109375" style="182" bestFit="1" customWidth="1"/>
    <col min="12034" max="12034" width="28.5703125" style="182" customWidth="1"/>
    <col min="12035" max="12035" width="32.28515625" style="182" customWidth="1"/>
    <col min="12036" max="12036" width="14.85546875" style="182" customWidth="1"/>
    <col min="12037" max="12037" width="15.7109375" style="182" customWidth="1"/>
    <col min="12038" max="12038" width="19.42578125" style="182" customWidth="1"/>
    <col min="12039" max="12039" width="18.5703125" style="182" customWidth="1"/>
    <col min="12040" max="12040" width="17.85546875" style="182" customWidth="1"/>
    <col min="12041" max="12063" width="19" style="182" customWidth="1"/>
    <col min="12064" max="12287" width="9.140625" style="182"/>
    <col min="12288" max="12288" width="3.140625" style="182" customWidth="1"/>
    <col min="12289" max="12289" width="4.7109375" style="182" bestFit="1" customWidth="1"/>
    <col min="12290" max="12290" width="28.5703125" style="182" customWidth="1"/>
    <col min="12291" max="12291" width="32.28515625" style="182" customWidth="1"/>
    <col min="12292" max="12292" width="14.85546875" style="182" customWidth="1"/>
    <col min="12293" max="12293" width="15.7109375" style="182" customWidth="1"/>
    <col min="12294" max="12294" width="19.42578125" style="182" customWidth="1"/>
    <col min="12295" max="12295" width="18.5703125" style="182" customWidth="1"/>
    <col min="12296" max="12296" width="17.85546875" style="182" customWidth="1"/>
    <col min="12297" max="12319" width="19" style="182" customWidth="1"/>
    <col min="12320" max="12543" width="9.140625" style="182"/>
    <col min="12544" max="12544" width="3.140625" style="182" customWidth="1"/>
    <col min="12545" max="12545" width="4.7109375" style="182" bestFit="1" customWidth="1"/>
    <col min="12546" max="12546" width="28.5703125" style="182" customWidth="1"/>
    <col min="12547" max="12547" width="32.28515625" style="182" customWidth="1"/>
    <col min="12548" max="12548" width="14.85546875" style="182" customWidth="1"/>
    <col min="12549" max="12549" width="15.7109375" style="182" customWidth="1"/>
    <col min="12550" max="12550" width="19.42578125" style="182" customWidth="1"/>
    <col min="12551" max="12551" width="18.5703125" style="182" customWidth="1"/>
    <col min="12552" max="12552" width="17.85546875" style="182" customWidth="1"/>
    <col min="12553" max="12575" width="19" style="182" customWidth="1"/>
    <col min="12576" max="12799" width="9.140625" style="182"/>
    <col min="12800" max="12800" width="3.140625" style="182" customWidth="1"/>
    <col min="12801" max="12801" width="4.7109375" style="182" bestFit="1" customWidth="1"/>
    <col min="12802" max="12802" width="28.5703125" style="182" customWidth="1"/>
    <col min="12803" max="12803" width="32.28515625" style="182" customWidth="1"/>
    <col min="12804" max="12804" width="14.85546875" style="182" customWidth="1"/>
    <col min="12805" max="12805" width="15.7109375" style="182" customWidth="1"/>
    <col min="12806" max="12806" width="19.42578125" style="182" customWidth="1"/>
    <col min="12807" max="12807" width="18.5703125" style="182" customWidth="1"/>
    <col min="12808" max="12808" width="17.85546875" style="182" customWidth="1"/>
    <col min="12809" max="12831" width="19" style="182" customWidth="1"/>
    <col min="12832" max="13055" width="9.140625" style="182"/>
    <col min="13056" max="13056" width="3.140625" style="182" customWidth="1"/>
    <col min="13057" max="13057" width="4.7109375" style="182" bestFit="1" customWidth="1"/>
    <col min="13058" max="13058" width="28.5703125" style="182" customWidth="1"/>
    <col min="13059" max="13059" width="32.28515625" style="182" customWidth="1"/>
    <col min="13060" max="13060" width="14.85546875" style="182" customWidth="1"/>
    <col min="13061" max="13061" width="15.7109375" style="182" customWidth="1"/>
    <col min="13062" max="13062" width="19.42578125" style="182" customWidth="1"/>
    <col min="13063" max="13063" width="18.5703125" style="182" customWidth="1"/>
    <col min="13064" max="13064" width="17.85546875" style="182" customWidth="1"/>
    <col min="13065" max="13087" width="19" style="182" customWidth="1"/>
    <col min="13088" max="13311" width="9.140625" style="182"/>
    <col min="13312" max="13312" width="3.140625" style="182" customWidth="1"/>
    <col min="13313" max="13313" width="4.7109375" style="182" bestFit="1" customWidth="1"/>
    <col min="13314" max="13314" width="28.5703125" style="182" customWidth="1"/>
    <col min="13315" max="13315" width="32.28515625" style="182" customWidth="1"/>
    <col min="13316" max="13316" width="14.85546875" style="182" customWidth="1"/>
    <col min="13317" max="13317" width="15.7109375" style="182" customWidth="1"/>
    <col min="13318" max="13318" width="19.42578125" style="182" customWidth="1"/>
    <col min="13319" max="13319" width="18.5703125" style="182" customWidth="1"/>
    <col min="13320" max="13320" width="17.85546875" style="182" customWidth="1"/>
    <col min="13321" max="13343" width="19" style="182" customWidth="1"/>
    <col min="13344" max="13567" width="9.140625" style="182"/>
    <col min="13568" max="13568" width="3.140625" style="182" customWidth="1"/>
    <col min="13569" max="13569" width="4.7109375" style="182" bestFit="1" customWidth="1"/>
    <col min="13570" max="13570" width="28.5703125" style="182" customWidth="1"/>
    <col min="13571" max="13571" width="32.28515625" style="182" customWidth="1"/>
    <col min="13572" max="13572" width="14.85546875" style="182" customWidth="1"/>
    <col min="13573" max="13573" width="15.7109375" style="182" customWidth="1"/>
    <col min="13574" max="13574" width="19.42578125" style="182" customWidth="1"/>
    <col min="13575" max="13575" width="18.5703125" style="182" customWidth="1"/>
    <col min="13576" max="13576" width="17.85546875" style="182" customWidth="1"/>
    <col min="13577" max="13599" width="19" style="182" customWidth="1"/>
    <col min="13600" max="13823" width="9.140625" style="182"/>
    <col min="13824" max="13824" width="3.140625" style="182" customWidth="1"/>
    <col min="13825" max="13825" width="4.7109375" style="182" bestFit="1" customWidth="1"/>
    <col min="13826" max="13826" width="28.5703125" style="182" customWidth="1"/>
    <col min="13827" max="13827" width="32.28515625" style="182" customWidth="1"/>
    <col min="13828" max="13828" width="14.85546875" style="182" customWidth="1"/>
    <col min="13829" max="13829" width="15.7109375" style="182" customWidth="1"/>
    <col min="13830" max="13830" width="19.42578125" style="182" customWidth="1"/>
    <col min="13831" max="13831" width="18.5703125" style="182" customWidth="1"/>
    <col min="13832" max="13832" width="17.85546875" style="182" customWidth="1"/>
    <col min="13833" max="13855" width="19" style="182" customWidth="1"/>
    <col min="13856" max="14079" width="9.140625" style="182"/>
    <col min="14080" max="14080" width="3.140625" style="182" customWidth="1"/>
    <col min="14081" max="14081" width="4.7109375" style="182" bestFit="1" customWidth="1"/>
    <col min="14082" max="14082" width="28.5703125" style="182" customWidth="1"/>
    <col min="14083" max="14083" width="32.28515625" style="182" customWidth="1"/>
    <col min="14084" max="14084" width="14.85546875" style="182" customWidth="1"/>
    <col min="14085" max="14085" width="15.7109375" style="182" customWidth="1"/>
    <col min="14086" max="14086" width="19.42578125" style="182" customWidth="1"/>
    <col min="14087" max="14087" width="18.5703125" style="182" customWidth="1"/>
    <col min="14088" max="14088" width="17.85546875" style="182" customWidth="1"/>
    <col min="14089" max="14111" width="19" style="182" customWidth="1"/>
    <col min="14112" max="14335" width="9.140625" style="182"/>
    <col min="14336" max="14336" width="3.140625" style="182" customWidth="1"/>
    <col min="14337" max="14337" width="4.7109375" style="182" bestFit="1" customWidth="1"/>
    <col min="14338" max="14338" width="28.5703125" style="182" customWidth="1"/>
    <col min="14339" max="14339" width="32.28515625" style="182" customWidth="1"/>
    <col min="14340" max="14340" width="14.85546875" style="182" customWidth="1"/>
    <col min="14341" max="14341" width="15.7109375" style="182" customWidth="1"/>
    <col min="14342" max="14342" width="19.42578125" style="182" customWidth="1"/>
    <col min="14343" max="14343" width="18.5703125" style="182" customWidth="1"/>
    <col min="14344" max="14344" width="17.85546875" style="182" customWidth="1"/>
    <col min="14345" max="14367" width="19" style="182" customWidth="1"/>
    <col min="14368" max="14591" width="9.140625" style="182"/>
    <col min="14592" max="14592" width="3.140625" style="182" customWidth="1"/>
    <col min="14593" max="14593" width="4.7109375" style="182" bestFit="1" customWidth="1"/>
    <col min="14594" max="14594" width="28.5703125" style="182" customWidth="1"/>
    <col min="14595" max="14595" width="32.28515625" style="182" customWidth="1"/>
    <col min="14596" max="14596" width="14.85546875" style="182" customWidth="1"/>
    <col min="14597" max="14597" width="15.7109375" style="182" customWidth="1"/>
    <col min="14598" max="14598" width="19.42578125" style="182" customWidth="1"/>
    <col min="14599" max="14599" width="18.5703125" style="182" customWidth="1"/>
    <col min="14600" max="14600" width="17.85546875" style="182" customWidth="1"/>
    <col min="14601" max="14623" width="19" style="182" customWidth="1"/>
    <col min="14624" max="14847" width="9.140625" style="182"/>
    <col min="14848" max="14848" width="3.140625" style="182" customWidth="1"/>
    <col min="14849" max="14849" width="4.7109375" style="182" bestFit="1" customWidth="1"/>
    <col min="14850" max="14850" width="28.5703125" style="182" customWidth="1"/>
    <col min="14851" max="14851" width="32.28515625" style="182" customWidth="1"/>
    <col min="14852" max="14852" width="14.85546875" style="182" customWidth="1"/>
    <col min="14853" max="14853" width="15.7109375" style="182" customWidth="1"/>
    <col min="14854" max="14854" width="19.42578125" style="182" customWidth="1"/>
    <col min="14855" max="14855" width="18.5703125" style="182" customWidth="1"/>
    <col min="14856" max="14856" width="17.85546875" style="182" customWidth="1"/>
    <col min="14857" max="14879" width="19" style="182" customWidth="1"/>
    <col min="14880" max="15103" width="9.140625" style="182"/>
    <col min="15104" max="15104" width="3.140625" style="182" customWidth="1"/>
    <col min="15105" max="15105" width="4.7109375" style="182" bestFit="1" customWidth="1"/>
    <col min="15106" max="15106" width="28.5703125" style="182" customWidth="1"/>
    <col min="15107" max="15107" width="32.28515625" style="182" customWidth="1"/>
    <col min="15108" max="15108" width="14.85546875" style="182" customWidth="1"/>
    <col min="15109" max="15109" width="15.7109375" style="182" customWidth="1"/>
    <col min="15110" max="15110" width="19.42578125" style="182" customWidth="1"/>
    <col min="15111" max="15111" width="18.5703125" style="182" customWidth="1"/>
    <col min="15112" max="15112" width="17.85546875" style="182" customWidth="1"/>
    <col min="15113" max="15135" width="19" style="182" customWidth="1"/>
    <col min="15136" max="15359" width="9.140625" style="182"/>
    <col min="15360" max="15360" width="3.140625" style="182" customWidth="1"/>
    <col min="15361" max="15361" width="4.7109375" style="182" bestFit="1" customWidth="1"/>
    <col min="15362" max="15362" width="28.5703125" style="182" customWidth="1"/>
    <col min="15363" max="15363" width="32.28515625" style="182" customWidth="1"/>
    <col min="15364" max="15364" width="14.85546875" style="182" customWidth="1"/>
    <col min="15365" max="15365" width="15.7109375" style="182" customWidth="1"/>
    <col min="15366" max="15366" width="19.42578125" style="182" customWidth="1"/>
    <col min="15367" max="15367" width="18.5703125" style="182" customWidth="1"/>
    <col min="15368" max="15368" width="17.85546875" style="182" customWidth="1"/>
    <col min="15369" max="15391" width="19" style="182" customWidth="1"/>
    <col min="15392" max="15615" width="9.140625" style="182"/>
    <col min="15616" max="15616" width="3.140625" style="182" customWidth="1"/>
    <col min="15617" max="15617" width="4.7109375" style="182" bestFit="1" customWidth="1"/>
    <col min="15618" max="15618" width="28.5703125" style="182" customWidth="1"/>
    <col min="15619" max="15619" width="32.28515625" style="182" customWidth="1"/>
    <col min="15620" max="15620" width="14.85546875" style="182" customWidth="1"/>
    <col min="15621" max="15621" width="15.7109375" style="182" customWidth="1"/>
    <col min="15622" max="15622" width="19.42578125" style="182" customWidth="1"/>
    <col min="15623" max="15623" width="18.5703125" style="182" customWidth="1"/>
    <col min="15624" max="15624" width="17.85546875" style="182" customWidth="1"/>
    <col min="15625" max="15647" width="19" style="182" customWidth="1"/>
    <col min="15648" max="15871" width="9.140625" style="182"/>
    <col min="15872" max="15872" width="3.140625" style="182" customWidth="1"/>
    <col min="15873" max="15873" width="4.7109375" style="182" bestFit="1" customWidth="1"/>
    <col min="15874" max="15874" width="28.5703125" style="182" customWidth="1"/>
    <col min="15875" max="15875" width="32.28515625" style="182" customWidth="1"/>
    <col min="15876" max="15876" width="14.85546875" style="182" customWidth="1"/>
    <col min="15877" max="15877" width="15.7109375" style="182" customWidth="1"/>
    <col min="15878" max="15878" width="19.42578125" style="182" customWidth="1"/>
    <col min="15879" max="15879" width="18.5703125" style="182" customWidth="1"/>
    <col min="15880" max="15880" width="17.85546875" style="182" customWidth="1"/>
    <col min="15881" max="15903" width="19" style="182" customWidth="1"/>
    <col min="15904" max="16127" width="9.140625" style="182"/>
    <col min="16128" max="16128" width="3.140625" style="182" customWidth="1"/>
    <col min="16129" max="16129" width="4.7109375" style="182" bestFit="1" customWidth="1"/>
    <col min="16130" max="16130" width="28.5703125" style="182" customWidth="1"/>
    <col min="16131" max="16131" width="32.28515625" style="182" customWidth="1"/>
    <col min="16132" max="16132" width="14.85546875" style="182" customWidth="1"/>
    <col min="16133" max="16133" width="15.7109375" style="182" customWidth="1"/>
    <col min="16134" max="16134" width="19.42578125" style="182" customWidth="1"/>
    <col min="16135" max="16135" width="18.5703125" style="182" customWidth="1"/>
    <col min="16136" max="16136" width="17.85546875" style="182" customWidth="1"/>
    <col min="16137" max="16159" width="19" style="182" customWidth="1"/>
    <col min="16160" max="16384" width="9.140625" style="182"/>
  </cols>
  <sheetData>
    <row r="1" spans="1:10" s="180" customFormat="1" ht="25.5" customHeight="1" x14ac:dyDescent="0.2">
      <c r="A1" s="178" t="s">
        <v>116</v>
      </c>
      <c r="B1" s="178" t="s">
        <v>320</v>
      </c>
      <c r="C1" s="79" t="s">
        <v>29</v>
      </c>
      <c r="D1" s="79" t="s">
        <v>30</v>
      </c>
      <c r="E1" s="79" t="s">
        <v>87</v>
      </c>
      <c r="F1" s="79" t="s">
        <v>31</v>
      </c>
      <c r="G1" s="79" t="s">
        <v>32</v>
      </c>
      <c r="H1" s="79" t="s">
        <v>33</v>
      </c>
      <c r="I1" s="79" t="s">
        <v>298</v>
      </c>
      <c r="J1" s="179"/>
    </row>
    <row r="2" spans="1:10" ht="30" customHeight="1" x14ac:dyDescent="0.2">
      <c r="A2" s="132" t="s">
        <v>196</v>
      </c>
      <c r="B2" s="272">
        <f>+SUMIFS(recursos_aprobados[monto_aprobado],recursos_aprobados[servicio],"SAPG",recursos_aprobados[distribuidora],'FORM RESUMEN '!D5)</f>
        <v>0</v>
      </c>
      <c r="C2" s="207">
        <v>0</v>
      </c>
      <c r="D2" s="207">
        <v>0</v>
      </c>
      <c r="E2" s="207">
        <v>0</v>
      </c>
      <c r="F2" s="207">
        <v>0</v>
      </c>
      <c r="G2" s="207">
        <v>0</v>
      </c>
      <c r="H2" s="207">
        <v>0</v>
      </c>
      <c r="I2" s="207">
        <v>0</v>
      </c>
      <c r="J2" s="181"/>
    </row>
    <row r="3" spans="1:10" ht="30" customHeight="1" x14ac:dyDescent="0.2">
      <c r="A3" s="132" t="s">
        <v>129</v>
      </c>
      <c r="B3" s="273"/>
      <c r="C3" s="207">
        <v>0</v>
      </c>
      <c r="D3" s="207">
        <v>0</v>
      </c>
      <c r="E3" s="207">
        <v>0</v>
      </c>
      <c r="F3" s="207">
        <v>0</v>
      </c>
      <c r="G3" s="207">
        <v>0</v>
      </c>
      <c r="H3" s="207">
        <v>0</v>
      </c>
      <c r="I3" s="207">
        <v>0</v>
      </c>
      <c r="J3" s="181"/>
    </row>
    <row r="4" spans="1:10" ht="19.5" customHeight="1" x14ac:dyDescent="0.2">
      <c r="A4" s="140" t="s">
        <v>294</v>
      </c>
      <c r="B4" s="242">
        <f>SUM(B2)</f>
        <v>0</v>
      </c>
      <c r="C4" s="208">
        <f t="shared" ref="C4:I4" si="0">SUM(C2:C3)</f>
        <v>0</v>
      </c>
      <c r="D4" s="208">
        <f t="shared" si="0"/>
        <v>0</v>
      </c>
      <c r="E4" s="208">
        <f t="shared" si="0"/>
        <v>0</v>
      </c>
      <c r="F4" s="208">
        <f>SUM(F2:F3)</f>
        <v>0</v>
      </c>
      <c r="G4" s="208">
        <f t="shared" si="0"/>
        <v>0</v>
      </c>
      <c r="H4" s="208">
        <f t="shared" si="0"/>
        <v>0</v>
      </c>
      <c r="I4" s="208">
        <f t="shared" si="0"/>
        <v>0</v>
      </c>
      <c r="J4" s="181"/>
    </row>
    <row r="5" spans="1:10" ht="12.75" customHeight="1" x14ac:dyDescent="0.2">
      <c r="A5" s="133"/>
      <c r="B5" s="134"/>
      <c r="C5" s="134"/>
      <c r="D5" s="134"/>
      <c r="E5" s="134"/>
      <c r="F5" s="134"/>
      <c r="G5" s="134"/>
      <c r="H5" s="135"/>
      <c r="I5" s="134"/>
      <c r="J5" s="181"/>
    </row>
    <row r="6" spans="1:10" ht="27" customHeight="1" x14ac:dyDescent="0.2">
      <c r="A6" s="226" t="s">
        <v>84</v>
      </c>
      <c r="B6" s="207">
        <v>0</v>
      </c>
      <c r="C6" s="181"/>
      <c r="D6" s="183"/>
      <c r="E6" s="183"/>
      <c r="F6" s="134"/>
      <c r="G6" s="134"/>
      <c r="H6" s="134"/>
      <c r="I6" s="134"/>
      <c r="J6" s="184"/>
    </row>
    <row r="7" spans="1:10" ht="27" customHeight="1" x14ac:dyDescent="0.2">
      <c r="A7" s="227" t="s">
        <v>351</v>
      </c>
      <c r="B7" s="208">
        <f>+B6+H4</f>
        <v>0</v>
      </c>
      <c r="C7" s="181"/>
      <c r="D7" s="185"/>
      <c r="E7" s="185"/>
      <c r="F7" s="135"/>
      <c r="G7" s="135"/>
      <c r="H7" s="134"/>
      <c r="I7" s="134"/>
      <c r="J7" s="184"/>
    </row>
    <row r="8" spans="1:10" ht="11.25" customHeight="1" x14ac:dyDescent="0.2">
      <c r="A8" s="136"/>
      <c r="B8" s="135"/>
      <c r="C8" s="134"/>
      <c r="D8" s="134"/>
      <c r="E8" s="134"/>
      <c r="F8" s="134"/>
      <c r="G8" s="134"/>
      <c r="H8" s="134"/>
      <c r="I8" s="134"/>
      <c r="J8" s="181"/>
    </row>
    <row r="12" spans="1:10" x14ac:dyDescent="0.2">
      <c r="E12" s="186"/>
    </row>
    <row r="13" spans="1:10" x14ac:dyDescent="0.2">
      <c r="E13" s="186"/>
    </row>
  </sheetData>
  <mergeCells count="1">
    <mergeCell ref="B2:B3"/>
  </mergeCells>
  <pageMargins left="0.7" right="0.7" top="0.75" bottom="0.75" header="0.3" footer="0.3"/>
  <pageSetup scale="66" orientation="landscape" r:id="rId1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98"/>
  <sheetViews>
    <sheetView showGridLines="0" view="pageBreakPreview" zoomScaleNormal="100" zoomScaleSheetLayoutView="100" workbookViewId="0">
      <selection activeCell="K2" sqref="K2"/>
    </sheetView>
  </sheetViews>
  <sheetFormatPr baseColWidth="10" defaultColWidth="9.140625" defaultRowHeight="12.75" x14ac:dyDescent="0.2"/>
  <cols>
    <col min="1" max="1" width="22.42578125" style="27" customWidth="1"/>
    <col min="2" max="2" width="17.7109375" style="27" customWidth="1"/>
    <col min="3" max="3" width="36.5703125" style="161" customWidth="1"/>
    <col min="4" max="4" width="20.140625" style="162" customWidth="1"/>
    <col min="5" max="5" width="16.85546875" style="27" customWidth="1"/>
    <col min="6" max="6" width="22" style="27" customWidth="1"/>
    <col min="7" max="7" width="15.7109375" style="27" customWidth="1"/>
    <col min="8" max="8" width="28.5703125" style="27" customWidth="1"/>
    <col min="9" max="9" width="21" style="27" customWidth="1"/>
    <col min="10" max="10" width="16.5703125" style="27" customWidth="1"/>
    <col min="11" max="11" width="15.7109375" style="27" customWidth="1"/>
    <col min="12" max="12" width="22.42578125" style="27" customWidth="1"/>
    <col min="13" max="13" width="3.42578125" style="27" customWidth="1"/>
    <col min="14" max="35" width="19" style="27" customWidth="1"/>
    <col min="36" max="259" width="9.140625" style="27"/>
    <col min="260" max="260" width="3.140625" style="27" customWidth="1"/>
    <col min="261" max="261" width="4.5703125" style="27" bestFit="1" customWidth="1"/>
    <col min="262" max="262" width="28.5703125" style="27" customWidth="1"/>
    <col min="263" max="263" width="32.42578125" style="27" customWidth="1"/>
    <col min="264" max="264" width="14.85546875" style="27" customWidth="1"/>
    <col min="265" max="265" width="15.5703125" style="27" customWidth="1"/>
    <col min="266" max="266" width="19.42578125" style="27" customWidth="1"/>
    <col min="267" max="267" width="18.5703125" style="27" customWidth="1"/>
    <col min="268" max="268" width="17.85546875" style="27" customWidth="1"/>
    <col min="269" max="291" width="19" style="27" customWidth="1"/>
    <col min="292" max="515" width="9.140625" style="27"/>
    <col min="516" max="516" width="3.140625" style="27" customWidth="1"/>
    <col min="517" max="517" width="4.5703125" style="27" bestFit="1" customWidth="1"/>
    <col min="518" max="518" width="28.5703125" style="27" customWidth="1"/>
    <col min="519" max="519" width="32.42578125" style="27" customWidth="1"/>
    <col min="520" max="520" width="14.85546875" style="27" customWidth="1"/>
    <col min="521" max="521" width="15.5703125" style="27" customWidth="1"/>
    <col min="522" max="522" width="19.42578125" style="27" customWidth="1"/>
    <col min="523" max="523" width="18.5703125" style="27" customWidth="1"/>
    <col min="524" max="524" width="17.85546875" style="27" customWidth="1"/>
    <col min="525" max="547" width="19" style="27" customWidth="1"/>
    <col min="548" max="771" width="9.140625" style="27"/>
    <col min="772" max="772" width="3.140625" style="27" customWidth="1"/>
    <col min="773" max="773" width="4.5703125" style="27" bestFit="1" customWidth="1"/>
    <col min="774" max="774" width="28.5703125" style="27" customWidth="1"/>
    <col min="775" max="775" width="32.42578125" style="27" customWidth="1"/>
    <col min="776" max="776" width="14.85546875" style="27" customWidth="1"/>
    <col min="777" max="777" width="15.5703125" style="27" customWidth="1"/>
    <col min="778" max="778" width="19.42578125" style="27" customWidth="1"/>
    <col min="779" max="779" width="18.5703125" style="27" customWidth="1"/>
    <col min="780" max="780" width="17.85546875" style="27" customWidth="1"/>
    <col min="781" max="803" width="19" style="27" customWidth="1"/>
    <col min="804" max="1027" width="9.140625" style="27"/>
    <col min="1028" max="1028" width="3.140625" style="27" customWidth="1"/>
    <col min="1029" max="1029" width="4.5703125" style="27" bestFit="1" customWidth="1"/>
    <col min="1030" max="1030" width="28.5703125" style="27" customWidth="1"/>
    <col min="1031" max="1031" width="32.42578125" style="27" customWidth="1"/>
    <col min="1032" max="1032" width="14.85546875" style="27" customWidth="1"/>
    <col min="1033" max="1033" width="15.5703125" style="27" customWidth="1"/>
    <col min="1034" max="1034" width="19.42578125" style="27" customWidth="1"/>
    <col min="1035" max="1035" width="18.5703125" style="27" customWidth="1"/>
    <col min="1036" max="1036" width="17.85546875" style="27" customWidth="1"/>
    <col min="1037" max="1059" width="19" style="27" customWidth="1"/>
    <col min="1060" max="1283" width="9.140625" style="27"/>
    <col min="1284" max="1284" width="3.140625" style="27" customWidth="1"/>
    <col min="1285" max="1285" width="4.5703125" style="27" bestFit="1" customWidth="1"/>
    <col min="1286" max="1286" width="28.5703125" style="27" customWidth="1"/>
    <col min="1287" max="1287" width="32.42578125" style="27" customWidth="1"/>
    <col min="1288" max="1288" width="14.85546875" style="27" customWidth="1"/>
    <col min="1289" max="1289" width="15.5703125" style="27" customWidth="1"/>
    <col min="1290" max="1290" width="19.42578125" style="27" customWidth="1"/>
    <col min="1291" max="1291" width="18.5703125" style="27" customWidth="1"/>
    <col min="1292" max="1292" width="17.85546875" style="27" customWidth="1"/>
    <col min="1293" max="1315" width="19" style="27" customWidth="1"/>
    <col min="1316" max="1539" width="9.140625" style="27"/>
    <col min="1540" max="1540" width="3.140625" style="27" customWidth="1"/>
    <col min="1541" max="1541" width="4.5703125" style="27" bestFit="1" customWidth="1"/>
    <col min="1542" max="1542" width="28.5703125" style="27" customWidth="1"/>
    <col min="1543" max="1543" width="32.42578125" style="27" customWidth="1"/>
    <col min="1544" max="1544" width="14.85546875" style="27" customWidth="1"/>
    <col min="1545" max="1545" width="15.5703125" style="27" customWidth="1"/>
    <col min="1546" max="1546" width="19.42578125" style="27" customWidth="1"/>
    <col min="1547" max="1547" width="18.5703125" style="27" customWidth="1"/>
    <col min="1548" max="1548" width="17.85546875" style="27" customWidth="1"/>
    <col min="1549" max="1571" width="19" style="27" customWidth="1"/>
    <col min="1572" max="1795" width="9.140625" style="27"/>
    <col min="1796" max="1796" width="3.140625" style="27" customWidth="1"/>
    <col min="1797" max="1797" width="4.5703125" style="27" bestFit="1" customWidth="1"/>
    <col min="1798" max="1798" width="28.5703125" style="27" customWidth="1"/>
    <col min="1799" max="1799" width="32.42578125" style="27" customWidth="1"/>
    <col min="1800" max="1800" width="14.85546875" style="27" customWidth="1"/>
    <col min="1801" max="1801" width="15.5703125" style="27" customWidth="1"/>
    <col min="1802" max="1802" width="19.42578125" style="27" customWidth="1"/>
    <col min="1803" max="1803" width="18.5703125" style="27" customWidth="1"/>
    <col min="1804" max="1804" width="17.85546875" style="27" customWidth="1"/>
    <col min="1805" max="1827" width="19" style="27" customWidth="1"/>
    <col min="1828" max="2051" width="9.140625" style="27"/>
    <col min="2052" max="2052" width="3.140625" style="27" customWidth="1"/>
    <col min="2053" max="2053" width="4.5703125" style="27" bestFit="1" customWidth="1"/>
    <col min="2054" max="2054" width="28.5703125" style="27" customWidth="1"/>
    <col min="2055" max="2055" width="32.42578125" style="27" customWidth="1"/>
    <col min="2056" max="2056" width="14.85546875" style="27" customWidth="1"/>
    <col min="2057" max="2057" width="15.5703125" style="27" customWidth="1"/>
    <col min="2058" max="2058" width="19.42578125" style="27" customWidth="1"/>
    <col min="2059" max="2059" width="18.5703125" style="27" customWidth="1"/>
    <col min="2060" max="2060" width="17.85546875" style="27" customWidth="1"/>
    <col min="2061" max="2083" width="19" style="27" customWidth="1"/>
    <col min="2084" max="2307" width="9.140625" style="27"/>
    <col min="2308" max="2308" width="3.140625" style="27" customWidth="1"/>
    <col min="2309" max="2309" width="4.5703125" style="27" bestFit="1" customWidth="1"/>
    <col min="2310" max="2310" width="28.5703125" style="27" customWidth="1"/>
    <col min="2311" max="2311" width="32.42578125" style="27" customWidth="1"/>
    <col min="2312" max="2312" width="14.85546875" style="27" customWidth="1"/>
    <col min="2313" max="2313" width="15.5703125" style="27" customWidth="1"/>
    <col min="2314" max="2314" width="19.42578125" style="27" customWidth="1"/>
    <col min="2315" max="2315" width="18.5703125" style="27" customWidth="1"/>
    <col min="2316" max="2316" width="17.85546875" style="27" customWidth="1"/>
    <col min="2317" max="2339" width="19" style="27" customWidth="1"/>
    <col min="2340" max="2563" width="9.140625" style="27"/>
    <col min="2564" max="2564" width="3.140625" style="27" customWidth="1"/>
    <col min="2565" max="2565" width="4.5703125" style="27" bestFit="1" customWidth="1"/>
    <col min="2566" max="2566" width="28.5703125" style="27" customWidth="1"/>
    <col min="2567" max="2567" width="32.42578125" style="27" customWidth="1"/>
    <col min="2568" max="2568" width="14.85546875" style="27" customWidth="1"/>
    <col min="2569" max="2569" width="15.5703125" style="27" customWidth="1"/>
    <col min="2570" max="2570" width="19.42578125" style="27" customWidth="1"/>
    <col min="2571" max="2571" width="18.5703125" style="27" customWidth="1"/>
    <col min="2572" max="2572" width="17.85546875" style="27" customWidth="1"/>
    <col min="2573" max="2595" width="19" style="27" customWidth="1"/>
    <col min="2596" max="2819" width="9.140625" style="27"/>
    <col min="2820" max="2820" width="3.140625" style="27" customWidth="1"/>
    <col min="2821" max="2821" width="4.5703125" style="27" bestFit="1" customWidth="1"/>
    <col min="2822" max="2822" width="28.5703125" style="27" customWidth="1"/>
    <col min="2823" max="2823" width="32.42578125" style="27" customWidth="1"/>
    <col min="2824" max="2824" width="14.85546875" style="27" customWidth="1"/>
    <col min="2825" max="2825" width="15.5703125" style="27" customWidth="1"/>
    <col min="2826" max="2826" width="19.42578125" style="27" customWidth="1"/>
    <col min="2827" max="2827" width="18.5703125" style="27" customWidth="1"/>
    <col min="2828" max="2828" width="17.85546875" style="27" customWidth="1"/>
    <col min="2829" max="2851" width="19" style="27" customWidth="1"/>
    <col min="2852" max="3075" width="9.140625" style="27"/>
    <col min="3076" max="3076" width="3.140625" style="27" customWidth="1"/>
    <col min="3077" max="3077" width="4.5703125" style="27" bestFit="1" customWidth="1"/>
    <col min="3078" max="3078" width="28.5703125" style="27" customWidth="1"/>
    <col min="3079" max="3079" width="32.42578125" style="27" customWidth="1"/>
    <col min="3080" max="3080" width="14.85546875" style="27" customWidth="1"/>
    <col min="3081" max="3081" width="15.5703125" style="27" customWidth="1"/>
    <col min="3082" max="3082" width="19.42578125" style="27" customWidth="1"/>
    <col min="3083" max="3083" width="18.5703125" style="27" customWidth="1"/>
    <col min="3084" max="3084" width="17.85546875" style="27" customWidth="1"/>
    <col min="3085" max="3107" width="19" style="27" customWidth="1"/>
    <col min="3108" max="3331" width="9.140625" style="27"/>
    <col min="3332" max="3332" width="3.140625" style="27" customWidth="1"/>
    <col min="3333" max="3333" width="4.5703125" style="27" bestFit="1" customWidth="1"/>
    <col min="3334" max="3334" width="28.5703125" style="27" customWidth="1"/>
    <col min="3335" max="3335" width="32.42578125" style="27" customWidth="1"/>
    <col min="3336" max="3336" width="14.85546875" style="27" customWidth="1"/>
    <col min="3337" max="3337" width="15.5703125" style="27" customWidth="1"/>
    <col min="3338" max="3338" width="19.42578125" style="27" customWidth="1"/>
    <col min="3339" max="3339" width="18.5703125" style="27" customWidth="1"/>
    <col min="3340" max="3340" width="17.85546875" style="27" customWidth="1"/>
    <col min="3341" max="3363" width="19" style="27" customWidth="1"/>
    <col min="3364" max="3587" width="9.140625" style="27"/>
    <col min="3588" max="3588" width="3.140625" style="27" customWidth="1"/>
    <col min="3589" max="3589" width="4.5703125" style="27" bestFit="1" customWidth="1"/>
    <col min="3590" max="3590" width="28.5703125" style="27" customWidth="1"/>
    <col min="3591" max="3591" width="32.42578125" style="27" customWidth="1"/>
    <col min="3592" max="3592" width="14.85546875" style="27" customWidth="1"/>
    <col min="3593" max="3593" width="15.5703125" style="27" customWidth="1"/>
    <col min="3594" max="3594" width="19.42578125" style="27" customWidth="1"/>
    <col min="3595" max="3595" width="18.5703125" style="27" customWidth="1"/>
    <col min="3596" max="3596" width="17.85546875" style="27" customWidth="1"/>
    <col min="3597" max="3619" width="19" style="27" customWidth="1"/>
    <col min="3620" max="3843" width="9.140625" style="27"/>
    <col min="3844" max="3844" width="3.140625" style="27" customWidth="1"/>
    <col min="3845" max="3845" width="4.5703125" style="27" bestFit="1" customWidth="1"/>
    <col min="3846" max="3846" width="28.5703125" style="27" customWidth="1"/>
    <col min="3847" max="3847" width="32.42578125" style="27" customWidth="1"/>
    <col min="3848" max="3848" width="14.85546875" style="27" customWidth="1"/>
    <col min="3849" max="3849" width="15.5703125" style="27" customWidth="1"/>
    <col min="3850" max="3850" width="19.42578125" style="27" customWidth="1"/>
    <col min="3851" max="3851" width="18.5703125" style="27" customWidth="1"/>
    <col min="3852" max="3852" width="17.85546875" style="27" customWidth="1"/>
    <col min="3853" max="3875" width="19" style="27" customWidth="1"/>
    <col min="3876" max="4099" width="9.140625" style="27"/>
    <col min="4100" max="4100" width="3.140625" style="27" customWidth="1"/>
    <col min="4101" max="4101" width="4.5703125" style="27" bestFit="1" customWidth="1"/>
    <col min="4102" max="4102" width="28.5703125" style="27" customWidth="1"/>
    <col min="4103" max="4103" width="32.42578125" style="27" customWidth="1"/>
    <col min="4104" max="4104" width="14.85546875" style="27" customWidth="1"/>
    <col min="4105" max="4105" width="15.5703125" style="27" customWidth="1"/>
    <col min="4106" max="4106" width="19.42578125" style="27" customWidth="1"/>
    <col min="4107" max="4107" width="18.5703125" style="27" customWidth="1"/>
    <col min="4108" max="4108" width="17.85546875" style="27" customWidth="1"/>
    <col min="4109" max="4131" width="19" style="27" customWidth="1"/>
    <col min="4132" max="4355" width="9.140625" style="27"/>
    <col min="4356" max="4356" width="3.140625" style="27" customWidth="1"/>
    <col min="4357" max="4357" width="4.5703125" style="27" bestFit="1" customWidth="1"/>
    <col min="4358" max="4358" width="28.5703125" style="27" customWidth="1"/>
    <col min="4359" max="4359" width="32.42578125" style="27" customWidth="1"/>
    <col min="4360" max="4360" width="14.85546875" style="27" customWidth="1"/>
    <col min="4361" max="4361" width="15.5703125" style="27" customWidth="1"/>
    <col min="4362" max="4362" width="19.42578125" style="27" customWidth="1"/>
    <col min="4363" max="4363" width="18.5703125" style="27" customWidth="1"/>
    <col min="4364" max="4364" width="17.85546875" style="27" customWidth="1"/>
    <col min="4365" max="4387" width="19" style="27" customWidth="1"/>
    <col min="4388" max="4611" width="9.140625" style="27"/>
    <col min="4612" max="4612" width="3.140625" style="27" customWidth="1"/>
    <col min="4613" max="4613" width="4.5703125" style="27" bestFit="1" customWidth="1"/>
    <col min="4614" max="4614" width="28.5703125" style="27" customWidth="1"/>
    <col min="4615" max="4615" width="32.42578125" style="27" customWidth="1"/>
    <col min="4616" max="4616" width="14.85546875" style="27" customWidth="1"/>
    <col min="4617" max="4617" width="15.5703125" style="27" customWidth="1"/>
    <col min="4618" max="4618" width="19.42578125" style="27" customWidth="1"/>
    <col min="4619" max="4619" width="18.5703125" style="27" customWidth="1"/>
    <col min="4620" max="4620" width="17.85546875" style="27" customWidth="1"/>
    <col min="4621" max="4643" width="19" style="27" customWidth="1"/>
    <col min="4644" max="4867" width="9.140625" style="27"/>
    <col min="4868" max="4868" width="3.140625" style="27" customWidth="1"/>
    <col min="4869" max="4869" width="4.5703125" style="27" bestFit="1" customWidth="1"/>
    <col min="4870" max="4870" width="28.5703125" style="27" customWidth="1"/>
    <col min="4871" max="4871" width="32.42578125" style="27" customWidth="1"/>
    <col min="4872" max="4872" width="14.85546875" style="27" customWidth="1"/>
    <col min="4873" max="4873" width="15.5703125" style="27" customWidth="1"/>
    <col min="4874" max="4874" width="19.42578125" style="27" customWidth="1"/>
    <col min="4875" max="4875" width="18.5703125" style="27" customWidth="1"/>
    <col min="4876" max="4876" width="17.85546875" style="27" customWidth="1"/>
    <col min="4877" max="4899" width="19" style="27" customWidth="1"/>
    <col min="4900" max="5123" width="9.140625" style="27"/>
    <col min="5124" max="5124" width="3.140625" style="27" customWidth="1"/>
    <col min="5125" max="5125" width="4.5703125" style="27" bestFit="1" customWidth="1"/>
    <col min="5126" max="5126" width="28.5703125" style="27" customWidth="1"/>
    <col min="5127" max="5127" width="32.42578125" style="27" customWidth="1"/>
    <col min="5128" max="5128" width="14.85546875" style="27" customWidth="1"/>
    <col min="5129" max="5129" width="15.5703125" style="27" customWidth="1"/>
    <col min="5130" max="5130" width="19.42578125" style="27" customWidth="1"/>
    <col min="5131" max="5131" width="18.5703125" style="27" customWidth="1"/>
    <col min="5132" max="5132" width="17.85546875" style="27" customWidth="1"/>
    <col min="5133" max="5155" width="19" style="27" customWidth="1"/>
    <col min="5156" max="5379" width="9.140625" style="27"/>
    <col min="5380" max="5380" width="3.140625" style="27" customWidth="1"/>
    <col min="5381" max="5381" width="4.5703125" style="27" bestFit="1" customWidth="1"/>
    <col min="5382" max="5382" width="28.5703125" style="27" customWidth="1"/>
    <col min="5383" max="5383" width="32.42578125" style="27" customWidth="1"/>
    <col min="5384" max="5384" width="14.85546875" style="27" customWidth="1"/>
    <col min="5385" max="5385" width="15.5703125" style="27" customWidth="1"/>
    <col min="5386" max="5386" width="19.42578125" style="27" customWidth="1"/>
    <col min="5387" max="5387" width="18.5703125" style="27" customWidth="1"/>
    <col min="5388" max="5388" width="17.85546875" style="27" customWidth="1"/>
    <col min="5389" max="5411" width="19" style="27" customWidth="1"/>
    <col min="5412" max="5635" width="9.140625" style="27"/>
    <col min="5636" max="5636" width="3.140625" style="27" customWidth="1"/>
    <col min="5637" max="5637" width="4.5703125" style="27" bestFit="1" customWidth="1"/>
    <col min="5638" max="5638" width="28.5703125" style="27" customWidth="1"/>
    <col min="5639" max="5639" width="32.42578125" style="27" customWidth="1"/>
    <col min="5640" max="5640" width="14.85546875" style="27" customWidth="1"/>
    <col min="5641" max="5641" width="15.5703125" style="27" customWidth="1"/>
    <col min="5642" max="5642" width="19.42578125" style="27" customWidth="1"/>
    <col min="5643" max="5643" width="18.5703125" style="27" customWidth="1"/>
    <col min="5644" max="5644" width="17.85546875" style="27" customWidth="1"/>
    <col min="5645" max="5667" width="19" style="27" customWidth="1"/>
    <col min="5668" max="5891" width="9.140625" style="27"/>
    <col min="5892" max="5892" width="3.140625" style="27" customWidth="1"/>
    <col min="5893" max="5893" width="4.5703125" style="27" bestFit="1" customWidth="1"/>
    <col min="5894" max="5894" width="28.5703125" style="27" customWidth="1"/>
    <col min="5895" max="5895" width="32.42578125" style="27" customWidth="1"/>
    <col min="5896" max="5896" width="14.85546875" style="27" customWidth="1"/>
    <col min="5897" max="5897" width="15.5703125" style="27" customWidth="1"/>
    <col min="5898" max="5898" width="19.42578125" style="27" customWidth="1"/>
    <col min="5899" max="5899" width="18.5703125" style="27" customWidth="1"/>
    <col min="5900" max="5900" width="17.85546875" style="27" customWidth="1"/>
    <col min="5901" max="5923" width="19" style="27" customWidth="1"/>
    <col min="5924" max="6147" width="9.140625" style="27"/>
    <col min="6148" max="6148" width="3.140625" style="27" customWidth="1"/>
    <col min="6149" max="6149" width="4.5703125" style="27" bestFit="1" customWidth="1"/>
    <col min="6150" max="6150" width="28.5703125" style="27" customWidth="1"/>
    <col min="6151" max="6151" width="32.42578125" style="27" customWidth="1"/>
    <col min="6152" max="6152" width="14.85546875" style="27" customWidth="1"/>
    <col min="6153" max="6153" width="15.5703125" style="27" customWidth="1"/>
    <col min="6154" max="6154" width="19.42578125" style="27" customWidth="1"/>
    <col min="6155" max="6155" width="18.5703125" style="27" customWidth="1"/>
    <col min="6156" max="6156" width="17.85546875" style="27" customWidth="1"/>
    <col min="6157" max="6179" width="19" style="27" customWidth="1"/>
    <col min="6180" max="6403" width="9.140625" style="27"/>
    <col min="6404" max="6404" width="3.140625" style="27" customWidth="1"/>
    <col min="6405" max="6405" width="4.5703125" style="27" bestFit="1" customWidth="1"/>
    <col min="6406" max="6406" width="28.5703125" style="27" customWidth="1"/>
    <col min="6407" max="6407" width="32.42578125" style="27" customWidth="1"/>
    <col min="6408" max="6408" width="14.85546875" style="27" customWidth="1"/>
    <col min="6409" max="6409" width="15.5703125" style="27" customWidth="1"/>
    <col min="6410" max="6410" width="19.42578125" style="27" customWidth="1"/>
    <col min="6411" max="6411" width="18.5703125" style="27" customWidth="1"/>
    <col min="6412" max="6412" width="17.85546875" style="27" customWidth="1"/>
    <col min="6413" max="6435" width="19" style="27" customWidth="1"/>
    <col min="6436" max="6659" width="9.140625" style="27"/>
    <col min="6660" max="6660" width="3.140625" style="27" customWidth="1"/>
    <col min="6661" max="6661" width="4.5703125" style="27" bestFit="1" customWidth="1"/>
    <col min="6662" max="6662" width="28.5703125" style="27" customWidth="1"/>
    <col min="6663" max="6663" width="32.42578125" style="27" customWidth="1"/>
    <col min="6664" max="6664" width="14.85546875" style="27" customWidth="1"/>
    <col min="6665" max="6665" width="15.5703125" style="27" customWidth="1"/>
    <col min="6666" max="6666" width="19.42578125" style="27" customWidth="1"/>
    <col min="6667" max="6667" width="18.5703125" style="27" customWidth="1"/>
    <col min="6668" max="6668" width="17.85546875" style="27" customWidth="1"/>
    <col min="6669" max="6691" width="19" style="27" customWidth="1"/>
    <col min="6692" max="6915" width="9.140625" style="27"/>
    <col min="6916" max="6916" width="3.140625" style="27" customWidth="1"/>
    <col min="6917" max="6917" width="4.5703125" style="27" bestFit="1" customWidth="1"/>
    <col min="6918" max="6918" width="28.5703125" style="27" customWidth="1"/>
    <col min="6919" max="6919" width="32.42578125" style="27" customWidth="1"/>
    <col min="6920" max="6920" width="14.85546875" style="27" customWidth="1"/>
    <col min="6921" max="6921" width="15.5703125" style="27" customWidth="1"/>
    <col min="6922" max="6922" width="19.42578125" style="27" customWidth="1"/>
    <col min="6923" max="6923" width="18.5703125" style="27" customWidth="1"/>
    <col min="6924" max="6924" width="17.85546875" style="27" customWidth="1"/>
    <col min="6925" max="6947" width="19" style="27" customWidth="1"/>
    <col min="6948" max="7171" width="9.140625" style="27"/>
    <col min="7172" max="7172" width="3.140625" style="27" customWidth="1"/>
    <col min="7173" max="7173" width="4.5703125" style="27" bestFit="1" customWidth="1"/>
    <col min="7174" max="7174" width="28.5703125" style="27" customWidth="1"/>
    <col min="7175" max="7175" width="32.42578125" style="27" customWidth="1"/>
    <col min="7176" max="7176" width="14.85546875" style="27" customWidth="1"/>
    <col min="7177" max="7177" width="15.5703125" style="27" customWidth="1"/>
    <col min="7178" max="7178" width="19.42578125" style="27" customWidth="1"/>
    <col min="7179" max="7179" width="18.5703125" style="27" customWidth="1"/>
    <col min="7180" max="7180" width="17.85546875" style="27" customWidth="1"/>
    <col min="7181" max="7203" width="19" style="27" customWidth="1"/>
    <col min="7204" max="7427" width="9.140625" style="27"/>
    <col min="7428" max="7428" width="3.140625" style="27" customWidth="1"/>
    <col min="7429" max="7429" width="4.5703125" style="27" bestFit="1" customWidth="1"/>
    <col min="7430" max="7430" width="28.5703125" style="27" customWidth="1"/>
    <col min="7431" max="7431" width="32.42578125" style="27" customWidth="1"/>
    <col min="7432" max="7432" width="14.85546875" style="27" customWidth="1"/>
    <col min="7433" max="7433" width="15.5703125" style="27" customWidth="1"/>
    <col min="7434" max="7434" width="19.42578125" style="27" customWidth="1"/>
    <col min="7435" max="7435" width="18.5703125" style="27" customWidth="1"/>
    <col min="7436" max="7436" width="17.85546875" style="27" customWidth="1"/>
    <col min="7437" max="7459" width="19" style="27" customWidth="1"/>
    <col min="7460" max="7683" width="9.140625" style="27"/>
    <col min="7684" max="7684" width="3.140625" style="27" customWidth="1"/>
    <col min="7685" max="7685" width="4.5703125" style="27" bestFit="1" customWidth="1"/>
    <col min="7686" max="7686" width="28.5703125" style="27" customWidth="1"/>
    <col min="7687" max="7687" width="32.42578125" style="27" customWidth="1"/>
    <col min="7688" max="7688" width="14.85546875" style="27" customWidth="1"/>
    <col min="7689" max="7689" width="15.5703125" style="27" customWidth="1"/>
    <col min="7690" max="7690" width="19.42578125" style="27" customWidth="1"/>
    <col min="7691" max="7691" width="18.5703125" style="27" customWidth="1"/>
    <col min="7692" max="7692" width="17.85546875" style="27" customWidth="1"/>
    <col min="7693" max="7715" width="19" style="27" customWidth="1"/>
    <col min="7716" max="7939" width="9.140625" style="27"/>
    <col min="7940" max="7940" width="3.140625" style="27" customWidth="1"/>
    <col min="7941" max="7941" width="4.5703125" style="27" bestFit="1" customWidth="1"/>
    <col min="7942" max="7942" width="28.5703125" style="27" customWidth="1"/>
    <col min="7943" max="7943" width="32.42578125" style="27" customWidth="1"/>
    <col min="7944" max="7944" width="14.85546875" style="27" customWidth="1"/>
    <col min="7945" max="7945" width="15.5703125" style="27" customWidth="1"/>
    <col min="7946" max="7946" width="19.42578125" style="27" customWidth="1"/>
    <col min="7947" max="7947" width="18.5703125" style="27" customWidth="1"/>
    <col min="7948" max="7948" width="17.85546875" style="27" customWidth="1"/>
    <col min="7949" max="7971" width="19" style="27" customWidth="1"/>
    <col min="7972" max="8195" width="9.140625" style="27"/>
    <col min="8196" max="8196" width="3.140625" style="27" customWidth="1"/>
    <col min="8197" max="8197" width="4.5703125" style="27" bestFit="1" customWidth="1"/>
    <col min="8198" max="8198" width="28.5703125" style="27" customWidth="1"/>
    <col min="8199" max="8199" width="32.42578125" style="27" customWidth="1"/>
    <col min="8200" max="8200" width="14.85546875" style="27" customWidth="1"/>
    <col min="8201" max="8201" width="15.5703125" style="27" customWidth="1"/>
    <col min="8202" max="8202" width="19.42578125" style="27" customWidth="1"/>
    <col min="8203" max="8203" width="18.5703125" style="27" customWidth="1"/>
    <col min="8204" max="8204" width="17.85546875" style="27" customWidth="1"/>
    <col min="8205" max="8227" width="19" style="27" customWidth="1"/>
    <col min="8228" max="8451" width="9.140625" style="27"/>
    <col min="8452" max="8452" width="3.140625" style="27" customWidth="1"/>
    <col min="8453" max="8453" width="4.5703125" style="27" bestFit="1" customWidth="1"/>
    <col min="8454" max="8454" width="28.5703125" style="27" customWidth="1"/>
    <col min="8455" max="8455" width="32.42578125" style="27" customWidth="1"/>
    <col min="8456" max="8456" width="14.85546875" style="27" customWidth="1"/>
    <col min="8457" max="8457" width="15.5703125" style="27" customWidth="1"/>
    <col min="8458" max="8458" width="19.42578125" style="27" customWidth="1"/>
    <col min="8459" max="8459" width="18.5703125" style="27" customWidth="1"/>
    <col min="8460" max="8460" width="17.85546875" style="27" customWidth="1"/>
    <col min="8461" max="8483" width="19" style="27" customWidth="1"/>
    <col min="8484" max="8707" width="9.140625" style="27"/>
    <col min="8708" max="8708" width="3.140625" style="27" customWidth="1"/>
    <col min="8709" max="8709" width="4.5703125" style="27" bestFit="1" customWidth="1"/>
    <col min="8710" max="8710" width="28.5703125" style="27" customWidth="1"/>
    <col min="8711" max="8711" width="32.42578125" style="27" customWidth="1"/>
    <col min="8712" max="8712" width="14.85546875" style="27" customWidth="1"/>
    <col min="8713" max="8713" width="15.5703125" style="27" customWidth="1"/>
    <col min="8714" max="8714" width="19.42578125" style="27" customWidth="1"/>
    <col min="8715" max="8715" width="18.5703125" style="27" customWidth="1"/>
    <col min="8716" max="8716" width="17.85546875" style="27" customWidth="1"/>
    <col min="8717" max="8739" width="19" style="27" customWidth="1"/>
    <col min="8740" max="8963" width="9.140625" style="27"/>
    <col min="8964" max="8964" width="3.140625" style="27" customWidth="1"/>
    <col min="8965" max="8965" width="4.5703125" style="27" bestFit="1" customWidth="1"/>
    <col min="8966" max="8966" width="28.5703125" style="27" customWidth="1"/>
    <col min="8967" max="8967" width="32.42578125" style="27" customWidth="1"/>
    <col min="8968" max="8968" width="14.85546875" style="27" customWidth="1"/>
    <col min="8969" max="8969" width="15.5703125" style="27" customWidth="1"/>
    <col min="8970" max="8970" width="19.42578125" style="27" customWidth="1"/>
    <col min="8971" max="8971" width="18.5703125" style="27" customWidth="1"/>
    <col min="8972" max="8972" width="17.85546875" style="27" customWidth="1"/>
    <col min="8973" max="8995" width="19" style="27" customWidth="1"/>
    <col min="8996" max="9219" width="9.140625" style="27"/>
    <col min="9220" max="9220" width="3.140625" style="27" customWidth="1"/>
    <col min="9221" max="9221" width="4.5703125" style="27" bestFit="1" customWidth="1"/>
    <col min="9222" max="9222" width="28.5703125" style="27" customWidth="1"/>
    <col min="9223" max="9223" width="32.42578125" style="27" customWidth="1"/>
    <col min="9224" max="9224" width="14.85546875" style="27" customWidth="1"/>
    <col min="9225" max="9225" width="15.5703125" style="27" customWidth="1"/>
    <col min="9226" max="9226" width="19.42578125" style="27" customWidth="1"/>
    <col min="9227" max="9227" width="18.5703125" style="27" customWidth="1"/>
    <col min="9228" max="9228" width="17.85546875" style="27" customWidth="1"/>
    <col min="9229" max="9251" width="19" style="27" customWidth="1"/>
    <col min="9252" max="9475" width="9.140625" style="27"/>
    <col min="9476" max="9476" width="3.140625" style="27" customWidth="1"/>
    <col min="9477" max="9477" width="4.5703125" style="27" bestFit="1" customWidth="1"/>
    <col min="9478" max="9478" width="28.5703125" style="27" customWidth="1"/>
    <col min="9479" max="9479" width="32.42578125" style="27" customWidth="1"/>
    <col min="9480" max="9480" width="14.85546875" style="27" customWidth="1"/>
    <col min="9481" max="9481" width="15.5703125" style="27" customWidth="1"/>
    <col min="9482" max="9482" width="19.42578125" style="27" customWidth="1"/>
    <col min="9483" max="9483" width="18.5703125" style="27" customWidth="1"/>
    <col min="9484" max="9484" width="17.85546875" style="27" customWidth="1"/>
    <col min="9485" max="9507" width="19" style="27" customWidth="1"/>
    <col min="9508" max="9731" width="9.140625" style="27"/>
    <col min="9732" max="9732" width="3.140625" style="27" customWidth="1"/>
    <col min="9733" max="9733" width="4.5703125" style="27" bestFit="1" customWidth="1"/>
    <col min="9734" max="9734" width="28.5703125" style="27" customWidth="1"/>
    <col min="9735" max="9735" width="32.42578125" style="27" customWidth="1"/>
    <col min="9736" max="9736" width="14.85546875" style="27" customWidth="1"/>
    <col min="9737" max="9737" width="15.5703125" style="27" customWidth="1"/>
    <col min="9738" max="9738" width="19.42578125" style="27" customWidth="1"/>
    <col min="9739" max="9739" width="18.5703125" style="27" customWidth="1"/>
    <col min="9740" max="9740" width="17.85546875" style="27" customWidth="1"/>
    <col min="9741" max="9763" width="19" style="27" customWidth="1"/>
    <col min="9764" max="9987" width="9.140625" style="27"/>
    <col min="9988" max="9988" width="3.140625" style="27" customWidth="1"/>
    <col min="9989" max="9989" width="4.5703125" style="27" bestFit="1" customWidth="1"/>
    <col min="9990" max="9990" width="28.5703125" style="27" customWidth="1"/>
    <col min="9991" max="9991" width="32.42578125" style="27" customWidth="1"/>
    <col min="9992" max="9992" width="14.85546875" style="27" customWidth="1"/>
    <col min="9993" max="9993" width="15.5703125" style="27" customWidth="1"/>
    <col min="9994" max="9994" width="19.42578125" style="27" customWidth="1"/>
    <col min="9995" max="9995" width="18.5703125" style="27" customWidth="1"/>
    <col min="9996" max="9996" width="17.85546875" style="27" customWidth="1"/>
    <col min="9997" max="10019" width="19" style="27" customWidth="1"/>
    <col min="10020" max="10243" width="9.140625" style="27"/>
    <col min="10244" max="10244" width="3.140625" style="27" customWidth="1"/>
    <col min="10245" max="10245" width="4.5703125" style="27" bestFit="1" customWidth="1"/>
    <col min="10246" max="10246" width="28.5703125" style="27" customWidth="1"/>
    <col min="10247" max="10247" width="32.42578125" style="27" customWidth="1"/>
    <col min="10248" max="10248" width="14.85546875" style="27" customWidth="1"/>
    <col min="10249" max="10249" width="15.5703125" style="27" customWidth="1"/>
    <col min="10250" max="10250" width="19.42578125" style="27" customWidth="1"/>
    <col min="10251" max="10251" width="18.5703125" style="27" customWidth="1"/>
    <col min="10252" max="10252" width="17.85546875" style="27" customWidth="1"/>
    <col min="10253" max="10275" width="19" style="27" customWidth="1"/>
    <col min="10276" max="10499" width="9.140625" style="27"/>
    <col min="10500" max="10500" width="3.140625" style="27" customWidth="1"/>
    <col min="10501" max="10501" width="4.5703125" style="27" bestFit="1" customWidth="1"/>
    <col min="10502" max="10502" width="28.5703125" style="27" customWidth="1"/>
    <col min="10503" max="10503" width="32.42578125" style="27" customWidth="1"/>
    <col min="10504" max="10504" width="14.85546875" style="27" customWidth="1"/>
    <col min="10505" max="10505" width="15.5703125" style="27" customWidth="1"/>
    <col min="10506" max="10506" width="19.42578125" style="27" customWidth="1"/>
    <col min="10507" max="10507" width="18.5703125" style="27" customWidth="1"/>
    <col min="10508" max="10508" width="17.85546875" style="27" customWidth="1"/>
    <col min="10509" max="10531" width="19" style="27" customWidth="1"/>
    <col min="10532" max="10755" width="9.140625" style="27"/>
    <col min="10756" max="10756" width="3.140625" style="27" customWidth="1"/>
    <col min="10757" max="10757" width="4.5703125" style="27" bestFit="1" customWidth="1"/>
    <col min="10758" max="10758" width="28.5703125" style="27" customWidth="1"/>
    <col min="10759" max="10759" width="32.42578125" style="27" customWidth="1"/>
    <col min="10760" max="10760" width="14.85546875" style="27" customWidth="1"/>
    <col min="10761" max="10761" width="15.5703125" style="27" customWidth="1"/>
    <col min="10762" max="10762" width="19.42578125" style="27" customWidth="1"/>
    <col min="10763" max="10763" width="18.5703125" style="27" customWidth="1"/>
    <col min="10764" max="10764" width="17.85546875" style="27" customWidth="1"/>
    <col min="10765" max="10787" width="19" style="27" customWidth="1"/>
    <col min="10788" max="11011" width="9.140625" style="27"/>
    <col min="11012" max="11012" width="3.140625" style="27" customWidth="1"/>
    <col min="11013" max="11013" width="4.5703125" style="27" bestFit="1" customWidth="1"/>
    <col min="11014" max="11014" width="28.5703125" style="27" customWidth="1"/>
    <col min="11015" max="11015" width="32.42578125" style="27" customWidth="1"/>
    <col min="11016" max="11016" width="14.85546875" style="27" customWidth="1"/>
    <col min="11017" max="11017" width="15.5703125" style="27" customWidth="1"/>
    <col min="11018" max="11018" width="19.42578125" style="27" customWidth="1"/>
    <col min="11019" max="11019" width="18.5703125" style="27" customWidth="1"/>
    <col min="11020" max="11020" width="17.85546875" style="27" customWidth="1"/>
    <col min="11021" max="11043" width="19" style="27" customWidth="1"/>
    <col min="11044" max="11267" width="9.140625" style="27"/>
    <col min="11268" max="11268" width="3.140625" style="27" customWidth="1"/>
    <col min="11269" max="11269" width="4.5703125" style="27" bestFit="1" customWidth="1"/>
    <col min="11270" max="11270" width="28.5703125" style="27" customWidth="1"/>
    <col min="11271" max="11271" width="32.42578125" style="27" customWidth="1"/>
    <col min="11272" max="11272" width="14.85546875" style="27" customWidth="1"/>
    <col min="11273" max="11273" width="15.5703125" style="27" customWidth="1"/>
    <col min="11274" max="11274" width="19.42578125" style="27" customWidth="1"/>
    <col min="11275" max="11275" width="18.5703125" style="27" customWidth="1"/>
    <col min="11276" max="11276" width="17.85546875" style="27" customWidth="1"/>
    <col min="11277" max="11299" width="19" style="27" customWidth="1"/>
    <col min="11300" max="11523" width="9.140625" style="27"/>
    <col min="11524" max="11524" width="3.140625" style="27" customWidth="1"/>
    <col min="11525" max="11525" width="4.5703125" style="27" bestFit="1" customWidth="1"/>
    <col min="11526" max="11526" width="28.5703125" style="27" customWidth="1"/>
    <col min="11527" max="11527" width="32.42578125" style="27" customWidth="1"/>
    <col min="11528" max="11528" width="14.85546875" style="27" customWidth="1"/>
    <col min="11529" max="11529" width="15.5703125" style="27" customWidth="1"/>
    <col min="11530" max="11530" width="19.42578125" style="27" customWidth="1"/>
    <col min="11531" max="11531" width="18.5703125" style="27" customWidth="1"/>
    <col min="11532" max="11532" width="17.85546875" style="27" customWidth="1"/>
    <col min="11533" max="11555" width="19" style="27" customWidth="1"/>
    <col min="11556" max="11779" width="9.140625" style="27"/>
    <col min="11780" max="11780" width="3.140625" style="27" customWidth="1"/>
    <col min="11781" max="11781" width="4.5703125" style="27" bestFit="1" customWidth="1"/>
    <col min="11782" max="11782" width="28.5703125" style="27" customWidth="1"/>
    <col min="11783" max="11783" width="32.42578125" style="27" customWidth="1"/>
    <col min="11784" max="11784" width="14.85546875" style="27" customWidth="1"/>
    <col min="11785" max="11785" width="15.5703125" style="27" customWidth="1"/>
    <col min="11786" max="11786" width="19.42578125" style="27" customWidth="1"/>
    <col min="11787" max="11787" width="18.5703125" style="27" customWidth="1"/>
    <col min="11788" max="11788" width="17.85546875" style="27" customWidth="1"/>
    <col min="11789" max="11811" width="19" style="27" customWidth="1"/>
    <col min="11812" max="12035" width="9.140625" style="27"/>
    <col min="12036" max="12036" width="3.140625" style="27" customWidth="1"/>
    <col min="12037" max="12037" width="4.5703125" style="27" bestFit="1" customWidth="1"/>
    <col min="12038" max="12038" width="28.5703125" style="27" customWidth="1"/>
    <col min="12039" max="12039" width="32.42578125" style="27" customWidth="1"/>
    <col min="12040" max="12040" width="14.85546875" style="27" customWidth="1"/>
    <col min="12041" max="12041" width="15.5703125" style="27" customWidth="1"/>
    <col min="12042" max="12042" width="19.42578125" style="27" customWidth="1"/>
    <col min="12043" max="12043" width="18.5703125" style="27" customWidth="1"/>
    <col min="12044" max="12044" width="17.85546875" style="27" customWidth="1"/>
    <col min="12045" max="12067" width="19" style="27" customWidth="1"/>
    <col min="12068" max="12291" width="9.140625" style="27"/>
    <col min="12292" max="12292" width="3.140625" style="27" customWidth="1"/>
    <col min="12293" max="12293" width="4.5703125" style="27" bestFit="1" customWidth="1"/>
    <col min="12294" max="12294" width="28.5703125" style="27" customWidth="1"/>
    <col min="12295" max="12295" width="32.42578125" style="27" customWidth="1"/>
    <col min="12296" max="12296" width="14.85546875" style="27" customWidth="1"/>
    <col min="12297" max="12297" width="15.5703125" style="27" customWidth="1"/>
    <col min="12298" max="12298" width="19.42578125" style="27" customWidth="1"/>
    <col min="12299" max="12299" width="18.5703125" style="27" customWidth="1"/>
    <col min="12300" max="12300" width="17.85546875" style="27" customWidth="1"/>
    <col min="12301" max="12323" width="19" style="27" customWidth="1"/>
    <col min="12324" max="12547" width="9.140625" style="27"/>
    <col min="12548" max="12548" width="3.140625" style="27" customWidth="1"/>
    <col min="12549" max="12549" width="4.5703125" style="27" bestFit="1" customWidth="1"/>
    <col min="12550" max="12550" width="28.5703125" style="27" customWidth="1"/>
    <col min="12551" max="12551" width="32.42578125" style="27" customWidth="1"/>
    <col min="12552" max="12552" width="14.85546875" style="27" customWidth="1"/>
    <col min="12553" max="12553" width="15.5703125" style="27" customWidth="1"/>
    <col min="12554" max="12554" width="19.42578125" style="27" customWidth="1"/>
    <col min="12555" max="12555" width="18.5703125" style="27" customWidth="1"/>
    <col min="12556" max="12556" width="17.85546875" style="27" customWidth="1"/>
    <col min="12557" max="12579" width="19" style="27" customWidth="1"/>
    <col min="12580" max="12803" width="9.140625" style="27"/>
    <col min="12804" max="12804" width="3.140625" style="27" customWidth="1"/>
    <col min="12805" max="12805" width="4.5703125" style="27" bestFit="1" customWidth="1"/>
    <col min="12806" max="12806" width="28.5703125" style="27" customWidth="1"/>
    <col min="12807" max="12807" width="32.42578125" style="27" customWidth="1"/>
    <col min="12808" max="12808" width="14.85546875" style="27" customWidth="1"/>
    <col min="12809" max="12809" width="15.5703125" style="27" customWidth="1"/>
    <col min="12810" max="12810" width="19.42578125" style="27" customWidth="1"/>
    <col min="12811" max="12811" width="18.5703125" style="27" customWidth="1"/>
    <col min="12812" max="12812" width="17.85546875" style="27" customWidth="1"/>
    <col min="12813" max="12835" width="19" style="27" customWidth="1"/>
    <col min="12836" max="13059" width="9.140625" style="27"/>
    <col min="13060" max="13060" width="3.140625" style="27" customWidth="1"/>
    <col min="13061" max="13061" width="4.5703125" style="27" bestFit="1" customWidth="1"/>
    <col min="13062" max="13062" width="28.5703125" style="27" customWidth="1"/>
    <col min="13063" max="13063" width="32.42578125" style="27" customWidth="1"/>
    <col min="13064" max="13064" width="14.85546875" style="27" customWidth="1"/>
    <col min="13065" max="13065" width="15.5703125" style="27" customWidth="1"/>
    <col min="13066" max="13066" width="19.42578125" style="27" customWidth="1"/>
    <col min="13067" max="13067" width="18.5703125" style="27" customWidth="1"/>
    <col min="13068" max="13068" width="17.85546875" style="27" customWidth="1"/>
    <col min="13069" max="13091" width="19" style="27" customWidth="1"/>
    <col min="13092" max="13315" width="9.140625" style="27"/>
    <col min="13316" max="13316" width="3.140625" style="27" customWidth="1"/>
    <col min="13317" max="13317" width="4.5703125" style="27" bestFit="1" customWidth="1"/>
    <col min="13318" max="13318" width="28.5703125" style="27" customWidth="1"/>
    <col min="13319" max="13319" width="32.42578125" style="27" customWidth="1"/>
    <col min="13320" max="13320" width="14.85546875" style="27" customWidth="1"/>
    <col min="13321" max="13321" width="15.5703125" style="27" customWidth="1"/>
    <col min="13322" max="13322" width="19.42578125" style="27" customWidth="1"/>
    <col min="13323" max="13323" width="18.5703125" style="27" customWidth="1"/>
    <col min="13324" max="13324" width="17.85546875" style="27" customWidth="1"/>
    <col min="13325" max="13347" width="19" style="27" customWidth="1"/>
    <col min="13348" max="13571" width="9.140625" style="27"/>
    <col min="13572" max="13572" width="3.140625" style="27" customWidth="1"/>
    <col min="13573" max="13573" width="4.5703125" style="27" bestFit="1" customWidth="1"/>
    <col min="13574" max="13574" width="28.5703125" style="27" customWidth="1"/>
    <col min="13575" max="13575" width="32.42578125" style="27" customWidth="1"/>
    <col min="13576" max="13576" width="14.85546875" style="27" customWidth="1"/>
    <col min="13577" max="13577" width="15.5703125" style="27" customWidth="1"/>
    <col min="13578" max="13578" width="19.42578125" style="27" customWidth="1"/>
    <col min="13579" max="13579" width="18.5703125" style="27" customWidth="1"/>
    <col min="13580" max="13580" width="17.85546875" style="27" customWidth="1"/>
    <col min="13581" max="13603" width="19" style="27" customWidth="1"/>
    <col min="13604" max="13827" width="9.140625" style="27"/>
    <col min="13828" max="13828" width="3.140625" style="27" customWidth="1"/>
    <col min="13829" max="13829" width="4.5703125" style="27" bestFit="1" customWidth="1"/>
    <col min="13830" max="13830" width="28.5703125" style="27" customWidth="1"/>
    <col min="13831" max="13831" width="32.42578125" style="27" customWidth="1"/>
    <col min="13832" max="13832" width="14.85546875" style="27" customWidth="1"/>
    <col min="13833" max="13833" width="15.5703125" style="27" customWidth="1"/>
    <col min="13834" max="13834" width="19.42578125" style="27" customWidth="1"/>
    <col min="13835" max="13835" width="18.5703125" style="27" customWidth="1"/>
    <col min="13836" max="13836" width="17.85546875" style="27" customWidth="1"/>
    <col min="13837" max="13859" width="19" style="27" customWidth="1"/>
    <col min="13860" max="14083" width="9.140625" style="27"/>
    <col min="14084" max="14084" width="3.140625" style="27" customWidth="1"/>
    <col min="14085" max="14085" width="4.5703125" style="27" bestFit="1" customWidth="1"/>
    <col min="14086" max="14086" width="28.5703125" style="27" customWidth="1"/>
    <col min="14087" max="14087" width="32.42578125" style="27" customWidth="1"/>
    <col min="14088" max="14088" width="14.85546875" style="27" customWidth="1"/>
    <col min="14089" max="14089" width="15.5703125" style="27" customWidth="1"/>
    <col min="14090" max="14090" width="19.42578125" style="27" customWidth="1"/>
    <col min="14091" max="14091" width="18.5703125" style="27" customWidth="1"/>
    <col min="14092" max="14092" width="17.85546875" style="27" customWidth="1"/>
    <col min="14093" max="14115" width="19" style="27" customWidth="1"/>
    <col min="14116" max="14339" width="9.140625" style="27"/>
    <col min="14340" max="14340" width="3.140625" style="27" customWidth="1"/>
    <col min="14341" max="14341" width="4.5703125" style="27" bestFit="1" customWidth="1"/>
    <col min="14342" max="14342" width="28.5703125" style="27" customWidth="1"/>
    <col min="14343" max="14343" width="32.42578125" style="27" customWidth="1"/>
    <col min="14344" max="14344" width="14.85546875" style="27" customWidth="1"/>
    <col min="14345" max="14345" width="15.5703125" style="27" customWidth="1"/>
    <col min="14346" max="14346" width="19.42578125" style="27" customWidth="1"/>
    <col min="14347" max="14347" width="18.5703125" style="27" customWidth="1"/>
    <col min="14348" max="14348" width="17.85546875" style="27" customWidth="1"/>
    <col min="14349" max="14371" width="19" style="27" customWidth="1"/>
    <col min="14372" max="14595" width="9.140625" style="27"/>
    <col min="14596" max="14596" width="3.140625" style="27" customWidth="1"/>
    <col min="14597" max="14597" width="4.5703125" style="27" bestFit="1" customWidth="1"/>
    <col min="14598" max="14598" width="28.5703125" style="27" customWidth="1"/>
    <col min="14599" max="14599" width="32.42578125" style="27" customWidth="1"/>
    <col min="14600" max="14600" width="14.85546875" style="27" customWidth="1"/>
    <col min="14601" max="14601" width="15.5703125" style="27" customWidth="1"/>
    <col min="14602" max="14602" width="19.42578125" style="27" customWidth="1"/>
    <col min="14603" max="14603" width="18.5703125" style="27" customWidth="1"/>
    <col min="14604" max="14604" width="17.85546875" style="27" customWidth="1"/>
    <col min="14605" max="14627" width="19" style="27" customWidth="1"/>
    <col min="14628" max="14851" width="9.140625" style="27"/>
    <col min="14852" max="14852" width="3.140625" style="27" customWidth="1"/>
    <col min="14853" max="14853" width="4.5703125" style="27" bestFit="1" customWidth="1"/>
    <col min="14854" max="14854" width="28.5703125" style="27" customWidth="1"/>
    <col min="14855" max="14855" width="32.42578125" style="27" customWidth="1"/>
    <col min="14856" max="14856" width="14.85546875" style="27" customWidth="1"/>
    <col min="14857" max="14857" width="15.5703125" style="27" customWidth="1"/>
    <col min="14858" max="14858" width="19.42578125" style="27" customWidth="1"/>
    <col min="14859" max="14859" width="18.5703125" style="27" customWidth="1"/>
    <col min="14860" max="14860" width="17.85546875" style="27" customWidth="1"/>
    <col min="14861" max="14883" width="19" style="27" customWidth="1"/>
    <col min="14884" max="15107" width="9.140625" style="27"/>
    <col min="15108" max="15108" width="3.140625" style="27" customWidth="1"/>
    <col min="15109" max="15109" width="4.5703125" style="27" bestFit="1" customWidth="1"/>
    <col min="15110" max="15110" width="28.5703125" style="27" customWidth="1"/>
    <col min="15111" max="15111" width="32.42578125" style="27" customWidth="1"/>
    <col min="15112" max="15112" width="14.85546875" style="27" customWidth="1"/>
    <col min="15113" max="15113" width="15.5703125" style="27" customWidth="1"/>
    <col min="15114" max="15114" width="19.42578125" style="27" customWidth="1"/>
    <col min="15115" max="15115" width="18.5703125" style="27" customWidth="1"/>
    <col min="15116" max="15116" width="17.85546875" style="27" customWidth="1"/>
    <col min="15117" max="15139" width="19" style="27" customWidth="1"/>
    <col min="15140" max="15363" width="9.140625" style="27"/>
    <col min="15364" max="15364" width="3.140625" style="27" customWidth="1"/>
    <col min="15365" max="15365" width="4.5703125" style="27" bestFit="1" customWidth="1"/>
    <col min="15366" max="15366" width="28.5703125" style="27" customWidth="1"/>
    <col min="15367" max="15367" width="32.42578125" style="27" customWidth="1"/>
    <col min="15368" max="15368" width="14.85546875" style="27" customWidth="1"/>
    <col min="15369" max="15369" width="15.5703125" style="27" customWidth="1"/>
    <col min="15370" max="15370" width="19.42578125" style="27" customWidth="1"/>
    <col min="15371" max="15371" width="18.5703125" style="27" customWidth="1"/>
    <col min="15372" max="15372" width="17.85546875" style="27" customWidth="1"/>
    <col min="15373" max="15395" width="19" style="27" customWidth="1"/>
    <col min="15396" max="15619" width="9.140625" style="27"/>
    <col min="15620" max="15620" width="3.140625" style="27" customWidth="1"/>
    <col min="15621" max="15621" width="4.5703125" style="27" bestFit="1" customWidth="1"/>
    <col min="15622" max="15622" width="28.5703125" style="27" customWidth="1"/>
    <col min="15623" max="15623" width="32.42578125" style="27" customWidth="1"/>
    <col min="15624" max="15624" width="14.85546875" style="27" customWidth="1"/>
    <col min="15625" max="15625" width="15.5703125" style="27" customWidth="1"/>
    <col min="15626" max="15626" width="19.42578125" style="27" customWidth="1"/>
    <col min="15627" max="15627" width="18.5703125" style="27" customWidth="1"/>
    <col min="15628" max="15628" width="17.85546875" style="27" customWidth="1"/>
    <col min="15629" max="15651" width="19" style="27" customWidth="1"/>
    <col min="15652" max="15875" width="9.140625" style="27"/>
    <col min="15876" max="15876" width="3.140625" style="27" customWidth="1"/>
    <col min="15877" max="15877" width="4.5703125" style="27" bestFit="1" customWidth="1"/>
    <col min="15878" max="15878" width="28.5703125" style="27" customWidth="1"/>
    <col min="15879" max="15879" width="32.42578125" style="27" customWidth="1"/>
    <col min="15880" max="15880" width="14.85546875" style="27" customWidth="1"/>
    <col min="15881" max="15881" width="15.5703125" style="27" customWidth="1"/>
    <col min="15882" max="15882" width="19.42578125" style="27" customWidth="1"/>
    <col min="15883" max="15883" width="18.5703125" style="27" customWidth="1"/>
    <col min="15884" max="15884" width="17.85546875" style="27" customWidth="1"/>
    <col min="15885" max="15907" width="19" style="27" customWidth="1"/>
    <col min="15908" max="16131" width="9.140625" style="27"/>
    <col min="16132" max="16132" width="3.140625" style="27" customWidth="1"/>
    <col min="16133" max="16133" width="4.5703125" style="27" bestFit="1" customWidth="1"/>
    <col min="16134" max="16134" width="28.5703125" style="27" customWidth="1"/>
    <col min="16135" max="16135" width="32.42578125" style="27" customWidth="1"/>
    <col min="16136" max="16136" width="14.85546875" style="27" customWidth="1"/>
    <col min="16137" max="16137" width="15.5703125" style="27" customWidth="1"/>
    <col min="16138" max="16138" width="19.42578125" style="27" customWidth="1"/>
    <col min="16139" max="16139" width="18.5703125" style="27" customWidth="1"/>
    <col min="16140" max="16140" width="17.85546875" style="27" customWidth="1"/>
    <col min="16141" max="16163" width="19" style="27" customWidth="1"/>
    <col min="16164" max="16384" width="9.140625" style="27"/>
  </cols>
  <sheetData>
    <row r="1" spans="1:12" s="155" customFormat="1" ht="24" customHeight="1" x14ac:dyDescent="0.2">
      <c r="A1" s="153" t="s">
        <v>88</v>
      </c>
      <c r="B1" s="154" t="s">
        <v>86</v>
      </c>
      <c r="C1" s="154" t="s">
        <v>25</v>
      </c>
      <c r="D1" s="154" t="s">
        <v>27</v>
      </c>
      <c r="E1" s="154" t="s">
        <v>28</v>
      </c>
      <c r="F1" s="154" t="s">
        <v>29</v>
      </c>
      <c r="G1" s="154" t="s">
        <v>30</v>
      </c>
      <c r="H1" s="154" t="s">
        <v>87</v>
      </c>
      <c r="I1" s="154" t="s">
        <v>31</v>
      </c>
      <c r="J1" s="154" t="s">
        <v>32</v>
      </c>
      <c r="K1" s="154" t="s">
        <v>33</v>
      </c>
      <c r="L1" s="154" t="s">
        <v>298</v>
      </c>
    </row>
    <row r="2" spans="1:12" ht="12" customHeight="1" x14ac:dyDescent="0.2">
      <c r="A2" s="156"/>
      <c r="B2" s="223"/>
      <c r="C2" s="156"/>
      <c r="D2" s="144"/>
      <c r="E2" s="145"/>
      <c r="F2" s="233"/>
      <c r="G2" s="233"/>
      <c r="H2" s="233"/>
      <c r="I2" s="233"/>
      <c r="J2" s="233"/>
      <c r="K2" s="233"/>
      <c r="L2" s="233"/>
    </row>
    <row r="3" spans="1:12" x14ac:dyDescent="0.2">
      <c r="A3" s="156"/>
      <c r="B3" s="156"/>
      <c r="C3" s="156"/>
      <c r="D3" s="144"/>
      <c r="E3" s="145"/>
      <c r="F3" s="146"/>
      <c r="G3" s="146"/>
      <c r="H3" s="147"/>
      <c r="I3" s="147"/>
      <c r="J3" s="147"/>
      <c r="K3" s="147"/>
      <c r="L3" s="147"/>
    </row>
    <row r="4" spans="1:12" x14ac:dyDescent="0.2">
      <c r="A4" s="158"/>
      <c r="B4" s="159"/>
      <c r="C4" s="160"/>
      <c r="D4" s="144"/>
      <c r="E4" s="145"/>
      <c r="F4" s="145"/>
      <c r="G4" s="145"/>
      <c r="H4" s="159"/>
      <c r="I4" s="159"/>
      <c r="J4" s="159"/>
      <c r="K4" s="159"/>
      <c r="L4" s="159"/>
    </row>
    <row r="5" spans="1:12" x14ac:dyDescent="0.2">
      <c r="A5" s="158"/>
      <c r="B5" s="159"/>
      <c r="C5" s="160"/>
      <c r="D5" s="144"/>
      <c r="E5" s="145"/>
      <c r="F5" s="145"/>
      <c r="G5" s="145"/>
      <c r="H5" s="159"/>
      <c r="I5" s="159"/>
      <c r="J5" s="159"/>
      <c r="K5" s="159"/>
      <c r="L5" s="159"/>
    </row>
    <row r="6" spans="1:12" x14ac:dyDescent="0.2">
      <c r="A6" s="158"/>
      <c r="B6" s="159"/>
      <c r="C6" s="160"/>
      <c r="D6" s="144"/>
      <c r="E6" s="145"/>
      <c r="F6" s="145"/>
      <c r="G6" s="145"/>
      <c r="H6" s="159"/>
      <c r="I6" s="159"/>
      <c r="J6" s="159"/>
      <c r="K6" s="159"/>
      <c r="L6" s="159"/>
    </row>
    <row r="7" spans="1:12" x14ac:dyDescent="0.2">
      <c r="A7" s="158"/>
      <c r="B7" s="159"/>
      <c r="C7" s="160"/>
      <c r="D7" s="144"/>
      <c r="E7" s="145"/>
      <c r="F7" s="145"/>
      <c r="G7" s="145"/>
      <c r="H7" s="159"/>
      <c r="I7" s="159"/>
      <c r="J7" s="159"/>
      <c r="K7" s="159"/>
      <c r="L7" s="159"/>
    </row>
    <row r="8" spans="1:12" x14ac:dyDescent="0.2">
      <c r="A8" s="158"/>
      <c r="B8" s="159"/>
      <c r="C8" s="160"/>
      <c r="D8" s="144"/>
      <c r="E8" s="145"/>
      <c r="F8" s="145"/>
      <c r="G8" s="145"/>
      <c r="H8" s="159"/>
      <c r="I8" s="159"/>
      <c r="J8" s="159"/>
      <c r="K8" s="159"/>
      <c r="L8" s="159"/>
    </row>
    <row r="9" spans="1:12" x14ac:dyDescent="0.2">
      <c r="A9" s="158"/>
      <c r="B9" s="159"/>
      <c r="C9" s="160"/>
      <c r="D9" s="144"/>
      <c r="E9" s="145"/>
      <c r="F9" s="145"/>
      <c r="G9" s="145"/>
      <c r="H9" s="159"/>
      <c r="I9" s="159"/>
      <c r="J9" s="159"/>
      <c r="K9" s="159"/>
      <c r="L9" s="159"/>
    </row>
    <row r="10" spans="1:12" x14ac:dyDescent="0.2">
      <c r="A10" s="158"/>
      <c r="B10" s="159"/>
      <c r="C10" s="160"/>
      <c r="D10" s="144"/>
      <c r="E10" s="145"/>
      <c r="F10" s="145"/>
      <c r="G10" s="145"/>
      <c r="H10" s="159"/>
      <c r="I10" s="159"/>
      <c r="J10" s="159"/>
      <c r="K10" s="159"/>
      <c r="L10" s="159"/>
    </row>
    <row r="11" spans="1:12" x14ac:dyDescent="0.2">
      <c r="A11" s="158"/>
      <c r="B11" s="159"/>
      <c r="C11" s="160"/>
      <c r="D11" s="144"/>
      <c r="E11" s="145"/>
      <c r="F11" s="145"/>
      <c r="G11" s="145"/>
      <c r="H11" s="159"/>
      <c r="I11" s="159"/>
      <c r="J11" s="159"/>
      <c r="K11" s="159"/>
      <c r="L11" s="159"/>
    </row>
    <row r="12" spans="1:12" x14ac:dyDescent="0.2">
      <c r="A12" s="158"/>
      <c r="B12" s="159"/>
      <c r="C12" s="160"/>
      <c r="D12" s="144"/>
      <c r="E12" s="145"/>
      <c r="F12" s="145"/>
      <c r="G12" s="145"/>
      <c r="H12" s="159"/>
      <c r="I12" s="159"/>
      <c r="J12" s="159"/>
      <c r="K12" s="159"/>
      <c r="L12" s="159"/>
    </row>
    <row r="13" spans="1:12" x14ac:dyDescent="0.2">
      <c r="A13" s="158"/>
      <c r="B13" s="159"/>
      <c r="C13" s="160"/>
      <c r="D13" s="144"/>
      <c r="E13" s="145"/>
      <c r="F13" s="145"/>
      <c r="G13" s="145"/>
      <c r="H13" s="159"/>
      <c r="I13" s="159"/>
      <c r="J13" s="159"/>
      <c r="K13" s="159"/>
      <c r="L13" s="159"/>
    </row>
    <row r="14" spans="1:12" x14ac:dyDescent="0.2">
      <c r="A14" s="158"/>
      <c r="B14" s="159"/>
      <c r="C14" s="160"/>
      <c r="D14" s="144"/>
      <c r="E14" s="145"/>
      <c r="F14" s="145"/>
      <c r="G14" s="145"/>
      <c r="H14" s="159"/>
      <c r="I14" s="159"/>
      <c r="J14" s="159"/>
      <c r="K14" s="159"/>
      <c r="L14" s="159"/>
    </row>
    <row r="15" spans="1:12" x14ac:dyDescent="0.2">
      <c r="A15" s="158"/>
      <c r="B15" s="159"/>
      <c r="C15" s="160"/>
      <c r="D15" s="144"/>
      <c r="E15" s="145"/>
      <c r="F15" s="145"/>
      <c r="G15" s="145"/>
      <c r="H15" s="159"/>
      <c r="I15" s="159"/>
      <c r="J15" s="159"/>
      <c r="K15" s="159"/>
      <c r="L15" s="159"/>
    </row>
    <row r="16" spans="1:12" x14ac:dyDescent="0.2">
      <c r="A16" s="158"/>
      <c r="B16" s="159"/>
      <c r="C16" s="160"/>
      <c r="D16" s="144"/>
      <c r="E16" s="145"/>
      <c r="F16" s="145"/>
      <c r="G16" s="145"/>
      <c r="H16" s="159"/>
      <c r="I16" s="159"/>
      <c r="J16" s="159"/>
      <c r="K16" s="159"/>
      <c r="L16" s="159"/>
    </row>
    <row r="17" spans="1:12" x14ac:dyDescent="0.2">
      <c r="A17" s="158"/>
      <c r="B17" s="159"/>
      <c r="C17" s="160"/>
      <c r="D17" s="144"/>
      <c r="E17" s="145"/>
      <c r="F17" s="145"/>
      <c r="G17" s="145"/>
      <c r="H17" s="159"/>
      <c r="I17" s="159"/>
      <c r="J17" s="159"/>
      <c r="K17" s="159"/>
      <c r="L17" s="159"/>
    </row>
    <row r="18" spans="1:12" x14ac:dyDescent="0.2">
      <c r="A18" s="158"/>
      <c r="B18" s="159"/>
      <c r="C18" s="160"/>
      <c r="D18" s="144"/>
      <c r="E18" s="145"/>
      <c r="F18" s="145"/>
      <c r="G18" s="145"/>
      <c r="H18" s="159"/>
      <c r="I18" s="159"/>
      <c r="J18" s="159"/>
      <c r="K18" s="159"/>
      <c r="L18" s="159"/>
    </row>
    <row r="19" spans="1:12" x14ac:dyDescent="0.2">
      <c r="A19" s="158"/>
      <c r="B19" s="159"/>
      <c r="C19" s="160"/>
      <c r="D19" s="144"/>
      <c r="E19" s="145"/>
      <c r="F19" s="145"/>
      <c r="G19" s="145"/>
      <c r="H19" s="159"/>
      <c r="I19" s="159"/>
      <c r="J19" s="159"/>
      <c r="K19" s="159"/>
      <c r="L19" s="159"/>
    </row>
    <row r="20" spans="1:12" x14ac:dyDescent="0.2">
      <c r="A20" s="158"/>
      <c r="B20" s="159"/>
      <c r="C20" s="160"/>
      <c r="D20" s="144"/>
      <c r="E20" s="145"/>
      <c r="F20" s="145"/>
      <c r="G20" s="145"/>
      <c r="H20" s="159"/>
      <c r="I20" s="159"/>
      <c r="J20" s="159"/>
      <c r="K20" s="159"/>
      <c r="L20" s="159"/>
    </row>
    <row r="21" spans="1:12" x14ac:dyDescent="0.2">
      <c r="A21" s="158"/>
      <c r="B21" s="159"/>
      <c r="C21" s="160"/>
      <c r="D21" s="144"/>
      <c r="E21" s="145"/>
      <c r="F21" s="145"/>
      <c r="G21" s="145"/>
      <c r="H21" s="159"/>
      <c r="I21" s="159"/>
      <c r="J21" s="159"/>
      <c r="K21" s="159"/>
      <c r="L21" s="159"/>
    </row>
    <row r="22" spans="1:12" x14ac:dyDescent="0.2">
      <c r="A22" s="158"/>
      <c r="B22" s="159"/>
      <c r="C22" s="160"/>
      <c r="D22" s="144"/>
      <c r="E22" s="145"/>
      <c r="F22" s="145"/>
      <c r="G22" s="145"/>
      <c r="H22" s="159"/>
      <c r="I22" s="159"/>
      <c r="J22" s="159"/>
      <c r="K22" s="159"/>
      <c r="L22" s="159"/>
    </row>
    <row r="23" spans="1:12" x14ac:dyDescent="0.2">
      <c r="A23" s="158"/>
      <c r="B23" s="159"/>
      <c r="C23" s="160"/>
      <c r="D23" s="144"/>
      <c r="E23" s="145"/>
      <c r="F23" s="145"/>
      <c r="G23" s="145"/>
      <c r="H23" s="159"/>
      <c r="I23" s="159"/>
      <c r="J23" s="159"/>
      <c r="K23" s="159"/>
      <c r="L23" s="159"/>
    </row>
    <row r="24" spans="1:12" x14ac:dyDescent="0.2">
      <c r="A24" s="158"/>
      <c r="B24" s="159"/>
      <c r="C24" s="160"/>
      <c r="D24" s="144"/>
      <c r="E24" s="145"/>
      <c r="F24" s="145"/>
      <c r="G24" s="145"/>
      <c r="H24" s="159"/>
      <c r="I24" s="159"/>
      <c r="J24" s="159"/>
      <c r="K24" s="159"/>
      <c r="L24" s="159"/>
    </row>
    <row r="25" spans="1:12" x14ac:dyDescent="0.2">
      <c r="A25" s="158"/>
      <c r="B25" s="159"/>
      <c r="C25" s="160"/>
      <c r="D25" s="144"/>
      <c r="E25" s="145"/>
      <c r="F25" s="145"/>
      <c r="G25" s="145"/>
      <c r="H25" s="159"/>
      <c r="I25" s="159"/>
      <c r="J25" s="159"/>
      <c r="K25" s="159"/>
      <c r="L25" s="159"/>
    </row>
    <row r="26" spans="1:12" x14ac:dyDescent="0.2">
      <c r="A26" s="158"/>
      <c r="B26" s="159"/>
      <c r="C26" s="160"/>
      <c r="D26" s="144"/>
      <c r="E26" s="145"/>
      <c r="F26" s="145"/>
      <c r="G26" s="145"/>
      <c r="H26" s="159"/>
      <c r="I26" s="159"/>
      <c r="J26" s="159"/>
      <c r="K26" s="159"/>
      <c r="L26" s="159"/>
    </row>
    <row r="27" spans="1:12" x14ac:dyDescent="0.2">
      <c r="A27" s="158"/>
      <c r="B27" s="159"/>
      <c r="C27" s="160"/>
      <c r="D27" s="144"/>
      <c r="E27" s="145"/>
      <c r="F27" s="145"/>
      <c r="G27" s="145"/>
      <c r="H27" s="159"/>
      <c r="I27" s="159"/>
      <c r="J27" s="159"/>
      <c r="K27" s="159"/>
      <c r="L27" s="159"/>
    </row>
    <row r="28" spans="1:12" x14ac:dyDescent="0.2">
      <c r="A28" s="158"/>
      <c r="B28" s="159"/>
      <c r="C28" s="160"/>
      <c r="D28" s="144"/>
      <c r="E28" s="145"/>
      <c r="F28" s="145"/>
      <c r="G28" s="145"/>
      <c r="H28" s="159"/>
      <c r="I28" s="159"/>
      <c r="J28" s="159"/>
      <c r="K28" s="159"/>
      <c r="L28" s="159"/>
    </row>
    <row r="29" spans="1:12" x14ac:dyDescent="0.2">
      <c r="A29" s="158"/>
      <c r="B29" s="159"/>
      <c r="C29" s="160"/>
      <c r="D29" s="144"/>
      <c r="E29" s="145"/>
      <c r="F29" s="145"/>
      <c r="G29" s="145"/>
      <c r="H29" s="159"/>
      <c r="I29" s="159"/>
      <c r="J29" s="159"/>
      <c r="K29" s="159"/>
      <c r="L29" s="159"/>
    </row>
    <row r="30" spans="1:12" x14ac:dyDescent="0.2">
      <c r="A30" s="158"/>
      <c r="B30" s="159"/>
      <c r="C30" s="160"/>
      <c r="D30" s="144"/>
      <c r="E30" s="145"/>
      <c r="F30" s="145"/>
      <c r="G30" s="145"/>
      <c r="H30" s="159"/>
      <c r="I30" s="159"/>
      <c r="J30" s="159"/>
      <c r="K30" s="159"/>
      <c r="L30" s="159"/>
    </row>
    <row r="31" spans="1:12" x14ac:dyDescent="0.2">
      <c r="A31" s="158"/>
      <c r="B31" s="159"/>
      <c r="C31" s="160"/>
      <c r="D31" s="144"/>
      <c r="E31" s="145"/>
      <c r="F31" s="145"/>
      <c r="G31" s="145"/>
      <c r="H31" s="159"/>
      <c r="I31" s="159"/>
      <c r="J31" s="159"/>
      <c r="K31" s="159"/>
      <c r="L31" s="159"/>
    </row>
    <row r="32" spans="1:12" x14ac:dyDescent="0.2">
      <c r="A32" s="158"/>
      <c r="B32" s="159"/>
      <c r="C32" s="160"/>
      <c r="D32" s="144"/>
      <c r="E32" s="145"/>
      <c r="F32" s="145"/>
      <c r="G32" s="145"/>
      <c r="H32" s="159"/>
      <c r="I32" s="159"/>
      <c r="J32" s="159"/>
      <c r="K32" s="159"/>
      <c r="L32" s="159"/>
    </row>
    <row r="33" spans="1:12" x14ac:dyDescent="0.2">
      <c r="A33" s="158"/>
      <c r="B33" s="159"/>
      <c r="C33" s="160"/>
      <c r="D33" s="144"/>
      <c r="E33" s="145"/>
      <c r="F33" s="145"/>
      <c r="G33" s="145"/>
      <c r="H33" s="159"/>
      <c r="I33" s="159"/>
      <c r="J33" s="159"/>
      <c r="K33" s="159"/>
      <c r="L33" s="159"/>
    </row>
    <row r="34" spans="1:12" x14ac:dyDescent="0.2">
      <c r="A34" s="158"/>
      <c r="B34" s="159"/>
      <c r="C34" s="160"/>
      <c r="D34" s="144"/>
      <c r="E34" s="145"/>
      <c r="F34" s="145"/>
      <c r="G34" s="145"/>
      <c r="H34" s="159"/>
      <c r="I34" s="159"/>
      <c r="J34" s="159"/>
      <c r="K34" s="159"/>
      <c r="L34" s="159"/>
    </row>
    <row r="35" spans="1:12" x14ac:dyDescent="0.2">
      <c r="A35" s="158"/>
      <c r="B35" s="159"/>
      <c r="C35" s="160"/>
      <c r="D35" s="144"/>
      <c r="E35" s="145"/>
      <c r="F35" s="145"/>
      <c r="G35" s="145"/>
      <c r="H35" s="159"/>
      <c r="I35" s="159"/>
      <c r="J35" s="159"/>
      <c r="K35" s="159"/>
      <c r="L35" s="159"/>
    </row>
    <row r="36" spans="1:12" x14ac:dyDescent="0.2">
      <c r="A36" s="158"/>
      <c r="B36" s="159"/>
      <c r="C36" s="160"/>
      <c r="D36" s="144"/>
      <c r="E36" s="145"/>
      <c r="F36" s="145"/>
      <c r="G36" s="145"/>
      <c r="H36" s="159"/>
      <c r="I36" s="159"/>
      <c r="J36" s="159"/>
      <c r="K36" s="159"/>
      <c r="L36" s="159"/>
    </row>
    <row r="37" spans="1:12" x14ac:dyDescent="0.2">
      <c r="A37" s="158"/>
      <c r="B37" s="159"/>
      <c r="C37" s="160"/>
      <c r="D37" s="144"/>
      <c r="E37" s="145"/>
      <c r="F37" s="145"/>
      <c r="G37" s="145"/>
      <c r="H37" s="159"/>
      <c r="I37" s="159"/>
      <c r="J37" s="159"/>
      <c r="K37" s="159"/>
      <c r="L37" s="159"/>
    </row>
    <row r="38" spans="1:12" x14ac:dyDescent="0.2">
      <c r="A38" s="158"/>
      <c r="B38" s="159"/>
      <c r="C38" s="160"/>
      <c r="D38" s="144"/>
      <c r="E38" s="145"/>
      <c r="F38" s="145"/>
      <c r="G38" s="145"/>
      <c r="H38" s="159"/>
      <c r="I38" s="159"/>
      <c r="J38" s="159"/>
      <c r="K38" s="159"/>
      <c r="L38" s="159"/>
    </row>
    <row r="39" spans="1:12" x14ac:dyDescent="0.2">
      <c r="A39" s="158"/>
      <c r="B39" s="159"/>
      <c r="C39" s="160"/>
      <c r="D39" s="144"/>
      <c r="E39" s="145"/>
      <c r="F39" s="145"/>
      <c r="G39" s="145"/>
      <c r="H39" s="159"/>
      <c r="I39" s="159"/>
      <c r="J39" s="159"/>
      <c r="K39" s="159"/>
      <c r="L39" s="159"/>
    </row>
    <row r="40" spans="1:12" x14ac:dyDescent="0.2">
      <c r="A40" s="158"/>
      <c r="B40" s="159"/>
      <c r="C40" s="160"/>
      <c r="D40" s="144"/>
      <c r="E40" s="145"/>
      <c r="F40" s="145"/>
      <c r="G40" s="145"/>
      <c r="H40" s="159"/>
      <c r="I40" s="159"/>
      <c r="J40" s="159"/>
      <c r="K40" s="159"/>
      <c r="L40" s="159"/>
    </row>
    <row r="41" spans="1:12" x14ac:dyDescent="0.2">
      <c r="A41" s="158"/>
      <c r="B41" s="159"/>
      <c r="C41" s="160"/>
      <c r="D41" s="144"/>
      <c r="E41" s="145"/>
      <c r="F41" s="145"/>
      <c r="G41" s="145"/>
      <c r="H41" s="159"/>
      <c r="I41" s="159"/>
      <c r="J41" s="159"/>
      <c r="K41" s="159"/>
      <c r="L41" s="159"/>
    </row>
    <row r="42" spans="1:12" x14ac:dyDescent="0.2">
      <c r="A42" s="158"/>
      <c r="B42" s="159"/>
      <c r="C42" s="160"/>
      <c r="D42" s="144"/>
      <c r="E42" s="145"/>
      <c r="F42" s="145"/>
      <c r="G42" s="145"/>
      <c r="H42" s="159"/>
      <c r="I42" s="159"/>
      <c r="J42" s="159"/>
      <c r="K42" s="159"/>
      <c r="L42" s="159"/>
    </row>
    <row r="43" spans="1:12" x14ac:dyDescent="0.2">
      <c r="A43" s="158"/>
      <c r="B43" s="159"/>
      <c r="C43" s="160"/>
      <c r="D43" s="144"/>
      <c r="E43" s="145"/>
      <c r="F43" s="145"/>
      <c r="G43" s="145"/>
      <c r="H43" s="159"/>
      <c r="I43" s="159"/>
      <c r="J43" s="159"/>
      <c r="K43" s="159"/>
      <c r="L43" s="159"/>
    </row>
    <row r="44" spans="1:12" x14ac:dyDescent="0.2">
      <c r="A44" s="158"/>
      <c r="B44" s="159"/>
      <c r="C44" s="160"/>
      <c r="D44" s="144"/>
      <c r="E44" s="145"/>
      <c r="F44" s="145"/>
      <c r="G44" s="145"/>
      <c r="H44" s="159"/>
      <c r="I44" s="159"/>
      <c r="J44" s="159"/>
      <c r="K44" s="159"/>
      <c r="L44" s="159"/>
    </row>
    <row r="45" spans="1:12" x14ac:dyDescent="0.2">
      <c r="A45" s="158"/>
      <c r="B45" s="159"/>
      <c r="C45" s="160"/>
      <c r="D45" s="144"/>
      <c r="E45" s="145"/>
      <c r="F45" s="145"/>
      <c r="G45" s="145"/>
      <c r="H45" s="159"/>
      <c r="I45" s="159"/>
      <c r="J45" s="159"/>
      <c r="K45" s="159"/>
      <c r="L45" s="159"/>
    </row>
    <row r="46" spans="1:12" x14ac:dyDescent="0.2">
      <c r="A46" s="158"/>
      <c r="B46" s="159"/>
      <c r="C46" s="160"/>
      <c r="D46" s="144"/>
      <c r="E46" s="145"/>
      <c r="F46" s="145"/>
      <c r="G46" s="145"/>
      <c r="H46" s="159"/>
      <c r="I46" s="159"/>
      <c r="J46" s="159"/>
      <c r="K46" s="159"/>
      <c r="L46" s="159"/>
    </row>
    <row r="47" spans="1:12" x14ac:dyDescent="0.2">
      <c r="A47" s="158"/>
      <c r="B47" s="159"/>
      <c r="C47" s="160"/>
      <c r="D47" s="144"/>
      <c r="E47" s="145"/>
      <c r="F47" s="145"/>
      <c r="G47" s="145"/>
      <c r="H47" s="159"/>
      <c r="I47" s="159"/>
      <c r="J47" s="159"/>
      <c r="K47" s="159"/>
      <c r="L47" s="159"/>
    </row>
    <row r="48" spans="1:12" x14ac:dyDescent="0.2">
      <c r="A48" s="158"/>
      <c r="B48" s="159"/>
      <c r="C48" s="160"/>
      <c r="D48" s="144"/>
      <c r="E48" s="145"/>
      <c r="F48" s="145"/>
      <c r="G48" s="145"/>
      <c r="H48" s="159"/>
      <c r="I48" s="159"/>
      <c r="J48" s="159"/>
      <c r="K48" s="159"/>
      <c r="L48" s="159"/>
    </row>
    <row r="49" spans="1:12" x14ac:dyDescent="0.2">
      <c r="A49" s="158"/>
      <c r="B49" s="159"/>
      <c r="C49" s="160"/>
      <c r="D49" s="144"/>
      <c r="E49" s="145"/>
      <c r="F49" s="145"/>
      <c r="G49" s="145"/>
      <c r="H49" s="159"/>
      <c r="I49" s="159"/>
      <c r="J49" s="159"/>
      <c r="K49" s="159"/>
      <c r="L49" s="159"/>
    </row>
    <row r="50" spans="1:12" x14ac:dyDescent="0.2">
      <c r="A50" s="158"/>
      <c r="B50" s="159"/>
      <c r="C50" s="160"/>
      <c r="D50" s="144"/>
      <c r="E50" s="145"/>
      <c r="F50" s="145"/>
      <c r="G50" s="145"/>
      <c r="H50" s="159"/>
      <c r="I50" s="159"/>
      <c r="J50" s="159"/>
      <c r="K50" s="159"/>
      <c r="L50" s="159"/>
    </row>
    <row r="51" spans="1:12" x14ac:dyDescent="0.2">
      <c r="A51" s="158"/>
      <c r="B51" s="159"/>
      <c r="C51" s="160"/>
      <c r="D51" s="144"/>
      <c r="E51" s="145"/>
      <c r="F51" s="145"/>
      <c r="G51" s="145"/>
      <c r="H51" s="159"/>
      <c r="I51" s="159"/>
      <c r="J51" s="159"/>
      <c r="K51" s="159"/>
      <c r="L51" s="159"/>
    </row>
    <row r="52" spans="1:12" x14ac:dyDescent="0.2">
      <c r="A52" s="158"/>
      <c r="B52" s="159"/>
      <c r="C52" s="160"/>
      <c r="D52" s="144"/>
      <c r="E52" s="145"/>
      <c r="F52" s="145"/>
      <c r="G52" s="145"/>
      <c r="H52" s="159"/>
      <c r="I52" s="159"/>
      <c r="J52" s="159"/>
      <c r="K52" s="159"/>
      <c r="L52" s="159"/>
    </row>
    <row r="53" spans="1:12" x14ac:dyDescent="0.2">
      <c r="A53" s="158"/>
      <c r="B53" s="159"/>
      <c r="C53" s="160"/>
      <c r="D53" s="144"/>
      <c r="E53" s="145"/>
      <c r="F53" s="145"/>
      <c r="G53" s="145"/>
      <c r="H53" s="159"/>
      <c r="I53" s="159"/>
      <c r="J53" s="159"/>
      <c r="K53" s="159"/>
      <c r="L53" s="159"/>
    </row>
    <row r="54" spans="1:12" x14ac:dyDescent="0.2">
      <c r="A54" s="158"/>
      <c r="B54" s="159"/>
      <c r="C54" s="160"/>
      <c r="D54" s="144"/>
      <c r="E54" s="145"/>
      <c r="F54" s="145"/>
      <c r="G54" s="145"/>
      <c r="H54" s="159"/>
      <c r="I54" s="159"/>
      <c r="J54" s="159"/>
      <c r="K54" s="159"/>
      <c r="L54" s="159"/>
    </row>
    <row r="55" spans="1:12" x14ac:dyDescent="0.2">
      <c r="A55" s="158"/>
      <c r="B55" s="159"/>
      <c r="C55" s="160"/>
      <c r="D55" s="144"/>
      <c r="E55" s="145"/>
      <c r="F55" s="145"/>
      <c r="G55" s="145"/>
      <c r="H55" s="159"/>
      <c r="I55" s="159"/>
      <c r="J55" s="159"/>
      <c r="K55" s="159"/>
      <c r="L55" s="159"/>
    </row>
    <row r="56" spans="1:12" x14ac:dyDescent="0.2">
      <c r="A56" s="158"/>
      <c r="B56" s="159"/>
      <c r="C56" s="160"/>
      <c r="D56" s="144"/>
      <c r="E56" s="145"/>
      <c r="F56" s="145"/>
      <c r="G56" s="145"/>
      <c r="H56" s="159"/>
      <c r="I56" s="159"/>
      <c r="J56" s="159"/>
      <c r="K56" s="159"/>
      <c r="L56" s="159"/>
    </row>
    <row r="57" spans="1:12" x14ac:dyDescent="0.2">
      <c r="A57" s="158"/>
      <c r="B57" s="159"/>
      <c r="C57" s="160"/>
      <c r="D57" s="144"/>
      <c r="E57" s="145"/>
      <c r="F57" s="145"/>
      <c r="G57" s="145"/>
      <c r="H57" s="159"/>
      <c r="I57" s="159"/>
      <c r="J57" s="159"/>
      <c r="K57" s="159"/>
      <c r="L57" s="159"/>
    </row>
    <row r="58" spans="1:12" x14ac:dyDescent="0.2">
      <c r="A58" s="158"/>
      <c r="B58" s="159"/>
      <c r="C58" s="160"/>
      <c r="D58" s="144"/>
      <c r="E58" s="145"/>
      <c r="F58" s="145"/>
      <c r="G58" s="145"/>
      <c r="H58" s="159"/>
      <c r="I58" s="159"/>
      <c r="J58" s="159"/>
      <c r="K58" s="159"/>
      <c r="L58" s="159"/>
    </row>
    <row r="59" spans="1:12" x14ac:dyDescent="0.2">
      <c r="A59" s="158"/>
      <c r="B59" s="159"/>
      <c r="C59" s="160"/>
      <c r="D59" s="144"/>
      <c r="E59" s="145"/>
      <c r="F59" s="145"/>
      <c r="G59" s="145"/>
      <c r="H59" s="159"/>
      <c r="I59" s="159"/>
      <c r="J59" s="159"/>
      <c r="K59" s="159"/>
      <c r="L59" s="159"/>
    </row>
    <row r="60" spans="1:12" x14ac:dyDescent="0.2">
      <c r="A60" s="158"/>
      <c r="B60" s="159"/>
      <c r="C60" s="160"/>
      <c r="D60" s="144"/>
      <c r="E60" s="145"/>
      <c r="F60" s="145"/>
      <c r="G60" s="145"/>
      <c r="H60" s="159"/>
      <c r="I60" s="159"/>
      <c r="J60" s="159"/>
      <c r="K60" s="159"/>
      <c r="L60" s="159"/>
    </row>
    <row r="61" spans="1:12" x14ac:dyDescent="0.2">
      <c r="A61" s="158"/>
      <c r="B61" s="159"/>
      <c r="C61" s="160"/>
      <c r="D61" s="144"/>
      <c r="E61" s="145"/>
      <c r="F61" s="145"/>
      <c r="G61" s="145"/>
      <c r="H61" s="159"/>
      <c r="I61" s="159"/>
      <c r="J61" s="159"/>
      <c r="K61" s="159"/>
      <c r="L61" s="159"/>
    </row>
    <row r="62" spans="1:12" x14ac:dyDescent="0.2">
      <c r="A62" s="158"/>
      <c r="B62" s="159"/>
      <c r="C62" s="160"/>
      <c r="D62" s="144"/>
      <c r="E62" s="145"/>
      <c r="F62" s="145"/>
      <c r="G62" s="145"/>
      <c r="H62" s="159"/>
      <c r="I62" s="159"/>
      <c r="J62" s="159"/>
      <c r="K62" s="159"/>
      <c r="L62" s="159"/>
    </row>
    <row r="63" spans="1:12" x14ac:dyDescent="0.2">
      <c r="A63" s="158"/>
      <c r="B63" s="159"/>
      <c r="C63" s="160"/>
      <c r="D63" s="144"/>
      <c r="E63" s="145"/>
      <c r="F63" s="145"/>
      <c r="G63" s="145"/>
      <c r="H63" s="159"/>
      <c r="I63" s="159"/>
      <c r="J63" s="159"/>
      <c r="K63" s="159"/>
      <c r="L63" s="159"/>
    </row>
    <row r="64" spans="1:12" x14ac:dyDescent="0.2">
      <c r="A64" s="158"/>
      <c r="B64" s="159"/>
      <c r="C64" s="160"/>
      <c r="D64" s="144"/>
      <c r="E64" s="145"/>
      <c r="F64" s="145"/>
      <c r="G64" s="145"/>
      <c r="H64" s="159"/>
      <c r="I64" s="159"/>
      <c r="J64" s="159"/>
      <c r="K64" s="159"/>
      <c r="L64" s="159"/>
    </row>
    <row r="65" spans="1:12" x14ac:dyDescent="0.2">
      <c r="A65" s="158"/>
      <c r="B65" s="159"/>
      <c r="C65" s="160"/>
      <c r="D65" s="144"/>
      <c r="E65" s="145"/>
      <c r="F65" s="145"/>
      <c r="G65" s="145"/>
      <c r="H65" s="159"/>
      <c r="I65" s="159"/>
      <c r="J65" s="159"/>
      <c r="K65" s="159"/>
      <c r="L65" s="159"/>
    </row>
    <row r="66" spans="1:12" x14ac:dyDescent="0.2">
      <c r="A66" s="158"/>
      <c r="B66" s="159"/>
      <c r="C66" s="160"/>
      <c r="D66" s="144"/>
      <c r="E66" s="145"/>
      <c r="F66" s="145"/>
      <c r="G66" s="145"/>
      <c r="H66" s="159"/>
      <c r="I66" s="159"/>
      <c r="J66" s="159"/>
      <c r="K66" s="159"/>
      <c r="L66" s="159"/>
    </row>
    <row r="67" spans="1:12" x14ac:dyDescent="0.2">
      <c r="A67" s="158"/>
      <c r="B67" s="159"/>
      <c r="C67" s="160"/>
      <c r="D67" s="144"/>
      <c r="E67" s="145"/>
      <c r="F67" s="145"/>
      <c r="G67" s="145"/>
      <c r="H67" s="159"/>
      <c r="I67" s="159"/>
      <c r="J67" s="159"/>
      <c r="K67" s="159"/>
      <c r="L67" s="159"/>
    </row>
    <row r="68" spans="1:12" x14ac:dyDescent="0.2">
      <c r="A68" s="158"/>
      <c r="B68" s="159"/>
      <c r="C68" s="160"/>
      <c r="D68" s="144"/>
      <c r="E68" s="145"/>
      <c r="F68" s="145"/>
      <c r="G68" s="145"/>
      <c r="H68" s="159"/>
      <c r="I68" s="159"/>
      <c r="J68" s="159"/>
      <c r="K68" s="159"/>
      <c r="L68" s="159"/>
    </row>
    <row r="69" spans="1:12" x14ac:dyDescent="0.2">
      <c r="A69" s="158"/>
      <c r="B69" s="159"/>
      <c r="C69" s="160"/>
      <c r="D69" s="144"/>
      <c r="E69" s="145"/>
      <c r="F69" s="145"/>
      <c r="G69" s="145"/>
      <c r="H69" s="159"/>
      <c r="I69" s="159"/>
      <c r="J69" s="159"/>
      <c r="K69" s="159"/>
      <c r="L69" s="159"/>
    </row>
    <row r="70" spans="1:12" x14ac:dyDescent="0.2">
      <c r="A70" s="158"/>
      <c r="B70" s="159"/>
      <c r="C70" s="160"/>
      <c r="D70" s="144"/>
      <c r="E70" s="145"/>
      <c r="F70" s="145"/>
      <c r="G70" s="145"/>
      <c r="H70" s="159"/>
      <c r="I70" s="159"/>
      <c r="J70" s="159"/>
      <c r="K70" s="159"/>
      <c r="L70" s="159"/>
    </row>
    <row r="71" spans="1:12" x14ac:dyDescent="0.2">
      <c r="A71" s="158"/>
      <c r="B71" s="159"/>
      <c r="C71" s="160"/>
      <c r="D71" s="144"/>
      <c r="E71" s="145"/>
      <c r="F71" s="145"/>
      <c r="G71" s="145"/>
      <c r="H71" s="159"/>
      <c r="I71" s="159"/>
      <c r="J71" s="159"/>
      <c r="K71" s="159"/>
      <c r="L71" s="159"/>
    </row>
    <row r="72" spans="1:12" x14ac:dyDescent="0.2">
      <c r="A72" s="158"/>
      <c r="B72" s="159"/>
      <c r="C72" s="160"/>
      <c r="D72" s="144"/>
      <c r="E72" s="145"/>
      <c r="F72" s="145"/>
      <c r="G72" s="145"/>
      <c r="H72" s="159"/>
      <c r="I72" s="159"/>
      <c r="J72" s="159"/>
      <c r="K72" s="159"/>
      <c r="L72" s="159"/>
    </row>
    <row r="73" spans="1:12" x14ac:dyDescent="0.2">
      <c r="A73" s="158"/>
      <c r="B73" s="159"/>
      <c r="C73" s="160"/>
      <c r="D73" s="144"/>
      <c r="E73" s="145"/>
      <c r="F73" s="145"/>
      <c r="G73" s="145"/>
      <c r="H73" s="159"/>
      <c r="I73" s="159"/>
      <c r="J73" s="159"/>
      <c r="K73" s="159"/>
      <c r="L73" s="159"/>
    </row>
    <row r="74" spans="1:12" x14ac:dyDescent="0.2">
      <c r="A74" s="158"/>
      <c r="B74" s="159"/>
      <c r="C74" s="160"/>
      <c r="D74" s="144"/>
      <c r="E74" s="145"/>
      <c r="F74" s="145"/>
      <c r="G74" s="145"/>
      <c r="H74" s="159"/>
      <c r="I74" s="159"/>
      <c r="J74" s="159"/>
      <c r="K74" s="159"/>
      <c r="L74" s="159"/>
    </row>
    <row r="75" spans="1:12" x14ac:dyDescent="0.2">
      <c r="A75" s="158"/>
      <c r="B75" s="159"/>
      <c r="C75" s="160"/>
      <c r="D75" s="144"/>
      <c r="E75" s="145"/>
      <c r="F75" s="145"/>
      <c r="G75" s="145"/>
      <c r="H75" s="159"/>
      <c r="I75" s="159"/>
      <c r="J75" s="159"/>
      <c r="K75" s="159"/>
      <c r="L75" s="159"/>
    </row>
    <row r="76" spans="1:12" x14ac:dyDescent="0.2">
      <c r="A76" s="158"/>
      <c r="B76" s="159"/>
      <c r="C76" s="160"/>
      <c r="D76" s="144"/>
      <c r="E76" s="145"/>
      <c r="F76" s="145"/>
      <c r="G76" s="145"/>
      <c r="H76" s="159"/>
      <c r="I76" s="159"/>
      <c r="J76" s="159"/>
      <c r="K76" s="159"/>
      <c r="L76" s="159"/>
    </row>
    <row r="77" spans="1:12" x14ac:dyDescent="0.2">
      <c r="A77" s="158"/>
      <c r="B77" s="159"/>
      <c r="C77" s="160"/>
      <c r="D77" s="144"/>
      <c r="E77" s="145"/>
      <c r="F77" s="145"/>
      <c r="G77" s="145"/>
      <c r="H77" s="159"/>
      <c r="I77" s="159"/>
      <c r="J77" s="159"/>
      <c r="K77" s="159"/>
      <c r="L77" s="159"/>
    </row>
    <row r="78" spans="1:12" x14ac:dyDescent="0.2">
      <c r="A78" s="158"/>
      <c r="B78" s="159"/>
      <c r="C78" s="160"/>
      <c r="D78" s="144"/>
      <c r="E78" s="145"/>
      <c r="F78" s="145"/>
      <c r="G78" s="145"/>
      <c r="H78" s="159"/>
      <c r="I78" s="159"/>
      <c r="J78" s="159"/>
      <c r="K78" s="159"/>
      <c r="L78" s="159"/>
    </row>
    <row r="79" spans="1:12" x14ac:dyDescent="0.2">
      <c r="A79" s="158"/>
      <c r="B79" s="159"/>
      <c r="C79" s="160"/>
      <c r="D79" s="144"/>
      <c r="E79" s="145"/>
      <c r="F79" s="145"/>
      <c r="G79" s="145"/>
      <c r="H79" s="159"/>
      <c r="I79" s="159"/>
      <c r="J79" s="159"/>
      <c r="K79" s="159"/>
      <c r="L79" s="159"/>
    </row>
    <row r="80" spans="1:12" x14ac:dyDescent="0.2">
      <c r="A80" s="158"/>
      <c r="B80" s="159"/>
      <c r="C80" s="160"/>
      <c r="D80" s="144"/>
      <c r="E80" s="145"/>
      <c r="F80" s="145"/>
      <c r="G80" s="145"/>
      <c r="H80" s="159"/>
      <c r="I80" s="159"/>
      <c r="J80" s="159"/>
      <c r="K80" s="159"/>
      <c r="L80" s="159"/>
    </row>
    <row r="81" spans="1:12" x14ac:dyDescent="0.2">
      <c r="A81" s="158"/>
      <c r="B81" s="159"/>
      <c r="C81" s="160"/>
      <c r="D81" s="144"/>
      <c r="E81" s="145"/>
      <c r="F81" s="145"/>
      <c r="G81" s="145"/>
      <c r="H81" s="159"/>
      <c r="I81" s="159"/>
      <c r="J81" s="159"/>
      <c r="K81" s="159"/>
      <c r="L81" s="159"/>
    </row>
    <row r="82" spans="1:12" x14ac:dyDescent="0.2">
      <c r="A82" s="158"/>
      <c r="B82" s="159"/>
      <c r="C82" s="160"/>
      <c r="D82" s="144"/>
      <c r="E82" s="145"/>
      <c r="F82" s="145"/>
      <c r="G82" s="145"/>
      <c r="H82" s="159"/>
      <c r="I82" s="159"/>
      <c r="J82" s="159"/>
      <c r="K82" s="159"/>
      <c r="L82" s="159"/>
    </row>
    <row r="83" spans="1:12" x14ac:dyDescent="0.2">
      <c r="A83" s="158"/>
      <c r="B83" s="159"/>
      <c r="C83" s="160"/>
      <c r="D83" s="144"/>
      <c r="E83" s="145"/>
      <c r="F83" s="145"/>
      <c r="G83" s="145"/>
      <c r="H83" s="159"/>
      <c r="I83" s="159"/>
      <c r="J83" s="159"/>
      <c r="K83" s="159"/>
      <c r="L83" s="159"/>
    </row>
    <row r="84" spans="1:12" x14ac:dyDescent="0.2">
      <c r="A84" s="158"/>
      <c r="B84" s="159"/>
      <c r="C84" s="160"/>
      <c r="D84" s="144"/>
      <c r="E84" s="145"/>
      <c r="F84" s="145"/>
      <c r="G84" s="145"/>
      <c r="H84" s="159"/>
      <c r="I84" s="159"/>
      <c r="J84" s="159"/>
      <c r="K84" s="159"/>
      <c r="L84" s="159"/>
    </row>
    <row r="85" spans="1:12" x14ac:dyDescent="0.2">
      <c r="A85" s="158"/>
      <c r="B85" s="159"/>
      <c r="C85" s="160"/>
      <c r="D85" s="144"/>
      <c r="E85" s="145"/>
      <c r="F85" s="145"/>
      <c r="G85" s="145"/>
      <c r="H85" s="159"/>
      <c r="I85" s="159"/>
      <c r="J85" s="159"/>
      <c r="K85" s="159"/>
      <c r="L85" s="159"/>
    </row>
    <row r="86" spans="1:12" x14ac:dyDescent="0.2">
      <c r="A86" s="158"/>
      <c r="B86" s="159"/>
      <c r="C86" s="160"/>
      <c r="D86" s="144"/>
      <c r="E86" s="145"/>
      <c r="F86" s="145"/>
      <c r="G86" s="145"/>
      <c r="H86" s="159"/>
      <c r="I86" s="159"/>
      <c r="J86" s="159"/>
      <c r="K86" s="159"/>
      <c r="L86" s="159"/>
    </row>
    <row r="87" spans="1:12" x14ac:dyDescent="0.2">
      <c r="A87" s="158"/>
      <c r="B87" s="159"/>
      <c r="C87" s="160"/>
      <c r="D87" s="144"/>
      <c r="E87" s="145"/>
      <c r="F87" s="145"/>
      <c r="G87" s="145"/>
      <c r="H87" s="159"/>
      <c r="I87" s="159"/>
      <c r="J87" s="159"/>
      <c r="K87" s="159"/>
      <c r="L87" s="159"/>
    </row>
    <row r="88" spans="1:12" x14ac:dyDescent="0.2">
      <c r="A88" s="158"/>
      <c r="B88" s="159"/>
      <c r="C88" s="160"/>
      <c r="D88" s="144"/>
      <c r="E88" s="145"/>
      <c r="F88" s="145"/>
      <c r="G88" s="145"/>
      <c r="H88" s="159"/>
      <c r="I88" s="159"/>
      <c r="J88" s="159"/>
      <c r="K88" s="159"/>
      <c r="L88" s="159"/>
    </row>
    <row r="89" spans="1:12" x14ac:dyDescent="0.2">
      <c r="A89" s="158"/>
      <c r="B89" s="159"/>
      <c r="C89" s="160"/>
      <c r="D89" s="144"/>
      <c r="E89" s="145"/>
      <c r="F89" s="145"/>
      <c r="G89" s="145"/>
      <c r="H89" s="159"/>
      <c r="I89" s="159"/>
      <c r="J89" s="159"/>
      <c r="K89" s="159"/>
      <c r="L89" s="159"/>
    </row>
    <row r="90" spans="1:12" x14ac:dyDescent="0.2">
      <c r="A90" s="158"/>
      <c r="B90" s="159"/>
      <c r="C90" s="160"/>
      <c r="D90" s="144"/>
      <c r="E90" s="145"/>
      <c r="F90" s="145"/>
      <c r="G90" s="145"/>
      <c r="H90" s="159"/>
      <c r="I90" s="159"/>
      <c r="J90" s="159"/>
      <c r="K90" s="159"/>
      <c r="L90" s="159"/>
    </row>
    <row r="91" spans="1:12" x14ac:dyDescent="0.2">
      <c r="A91" s="158"/>
      <c r="B91" s="159"/>
      <c r="C91" s="160"/>
      <c r="D91" s="144"/>
      <c r="E91" s="145"/>
      <c r="F91" s="145"/>
      <c r="G91" s="145"/>
      <c r="H91" s="159"/>
      <c r="I91" s="159"/>
      <c r="J91" s="159"/>
      <c r="K91" s="159"/>
      <c r="L91" s="159"/>
    </row>
    <row r="92" spans="1:12" x14ac:dyDescent="0.2">
      <c r="A92" s="158"/>
      <c r="B92" s="159"/>
      <c r="C92" s="160"/>
      <c r="D92" s="144"/>
      <c r="E92" s="145"/>
      <c r="F92" s="145"/>
      <c r="G92" s="145"/>
      <c r="H92" s="159"/>
      <c r="I92" s="159"/>
      <c r="J92" s="159"/>
      <c r="K92" s="159"/>
      <c r="L92" s="159"/>
    </row>
    <row r="93" spans="1:12" x14ac:dyDescent="0.2">
      <c r="A93" s="158"/>
      <c r="B93" s="159"/>
      <c r="C93" s="160"/>
      <c r="D93" s="144"/>
      <c r="E93" s="145"/>
      <c r="F93" s="145"/>
      <c r="G93" s="145"/>
      <c r="H93" s="159"/>
      <c r="I93" s="159"/>
      <c r="J93" s="159"/>
      <c r="K93" s="159"/>
      <c r="L93" s="159"/>
    </row>
    <row r="94" spans="1:12" x14ac:dyDescent="0.2">
      <c r="A94" s="158"/>
      <c r="B94" s="159"/>
      <c r="C94" s="160"/>
      <c r="D94" s="144"/>
      <c r="E94" s="145"/>
      <c r="F94" s="145"/>
      <c r="G94" s="145"/>
      <c r="H94" s="159"/>
      <c r="I94" s="159"/>
      <c r="J94" s="159"/>
      <c r="K94" s="159"/>
      <c r="L94" s="159"/>
    </row>
    <row r="95" spans="1:12" x14ac:dyDescent="0.2">
      <c r="A95" s="158"/>
      <c r="B95" s="159"/>
      <c r="C95" s="160"/>
      <c r="D95" s="144"/>
      <c r="E95" s="145"/>
      <c r="F95" s="145"/>
      <c r="G95" s="145"/>
      <c r="H95" s="159"/>
      <c r="I95" s="159"/>
      <c r="J95" s="159"/>
      <c r="K95" s="159"/>
      <c r="L95" s="159"/>
    </row>
    <row r="96" spans="1:12" x14ac:dyDescent="0.2">
      <c r="A96" s="158"/>
      <c r="B96" s="159"/>
      <c r="C96" s="160"/>
      <c r="D96" s="144"/>
      <c r="E96" s="145"/>
      <c r="F96" s="145"/>
      <c r="G96" s="145"/>
      <c r="H96" s="159"/>
      <c r="I96" s="159"/>
      <c r="J96" s="159"/>
      <c r="K96" s="159"/>
      <c r="L96" s="159"/>
    </row>
    <row r="97" spans="1:12" x14ac:dyDescent="0.2">
      <c r="A97" s="158"/>
      <c r="B97" s="159"/>
      <c r="C97" s="160"/>
      <c r="D97" s="144"/>
      <c r="E97" s="145"/>
      <c r="F97" s="145"/>
      <c r="G97" s="145"/>
      <c r="H97" s="159"/>
      <c r="I97" s="159"/>
      <c r="J97" s="159"/>
      <c r="K97" s="159"/>
      <c r="L97" s="159"/>
    </row>
    <row r="98" spans="1:12" x14ac:dyDescent="0.2">
      <c r="A98" s="158"/>
      <c r="B98" s="159"/>
      <c r="C98" s="160"/>
      <c r="D98" s="144"/>
      <c r="E98" s="145"/>
      <c r="F98" s="145"/>
      <c r="G98" s="145"/>
      <c r="H98" s="159"/>
      <c r="I98" s="159"/>
      <c r="J98" s="159"/>
      <c r="K98" s="159"/>
      <c r="L98" s="159"/>
    </row>
    <row r="99" spans="1:12" x14ac:dyDescent="0.2">
      <c r="A99" s="158"/>
      <c r="B99" s="159"/>
      <c r="C99" s="160"/>
      <c r="D99" s="144"/>
      <c r="E99" s="145"/>
      <c r="F99" s="145"/>
      <c r="G99" s="145"/>
      <c r="H99" s="159"/>
      <c r="I99" s="159"/>
      <c r="J99" s="159"/>
      <c r="K99" s="159"/>
      <c r="L99" s="159"/>
    </row>
    <row r="100" spans="1:12" x14ac:dyDescent="0.2">
      <c r="A100" s="158"/>
      <c r="B100" s="159"/>
      <c r="C100" s="160"/>
      <c r="D100" s="144"/>
      <c r="E100" s="145"/>
      <c r="F100" s="145"/>
      <c r="G100" s="145"/>
      <c r="H100" s="159"/>
      <c r="I100" s="159"/>
      <c r="J100" s="159"/>
      <c r="K100" s="159"/>
      <c r="L100" s="159"/>
    </row>
    <row r="101" spans="1:12" x14ac:dyDescent="0.2">
      <c r="A101" s="158"/>
      <c r="B101" s="159"/>
      <c r="C101" s="160"/>
      <c r="D101" s="144"/>
      <c r="E101" s="145"/>
      <c r="F101" s="145"/>
      <c r="G101" s="145"/>
      <c r="H101" s="159"/>
      <c r="I101" s="159"/>
      <c r="J101" s="159"/>
      <c r="K101" s="159"/>
      <c r="L101" s="159"/>
    </row>
    <row r="102" spans="1:12" x14ac:dyDescent="0.2">
      <c r="A102" s="158"/>
      <c r="B102" s="159"/>
      <c r="C102" s="160"/>
      <c r="D102" s="144"/>
      <c r="E102" s="145"/>
      <c r="F102" s="145"/>
      <c r="G102" s="145"/>
      <c r="H102" s="159"/>
      <c r="I102" s="159"/>
      <c r="J102" s="159"/>
      <c r="K102" s="159"/>
      <c r="L102" s="159"/>
    </row>
    <row r="103" spans="1:12" x14ac:dyDescent="0.2">
      <c r="A103" s="158"/>
      <c r="B103" s="159"/>
      <c r="C103" s="160"/>
      <c r="D103" s="144"/>
      <c r="E103" s="145"/>
      <c r="F103" s="145"/>
      <c r="G103" s="145"/>
      <c r="H103" s="159"/>
      <c r="I103" s="159"/>
      <c r="J103" s="159"/>
      <c r="K103" s="159"/>
      <c r="L103" s="159"/>
    </row>
    <row r="104" spans="1:12" x14ac:dyDescent="0.2">
      <c r="A104" s="158"/>
      <c r="B104" s="159"/>
      <c r="C104" s="160"/>
      <c r="D104" s="144"/>
      <c r="E104" s="145"/>
      <c r="F104" s="145"/>
      <c r="G104" s="145"/>
      <c r="H104" s="159"/>
      <c r="I104" s="159"/>
      <c r="J104" s="159"/>
      <c r="K104" s="159"/>
      <c r="L104" s="159"/>
    </row>
    <row r="105" spans="1:12" x14ac:dyDescent="0.2">
      <c r="A105" s="158"/>
      <c r="B105" s="159"/>
      <c r="C105" s="160"/>
      <c r="D105" s="144"/>
      <c r="E105" s="145"/>
      <c r="F105" s="145"/>
      <c r="G105" s="145"/>
      <c r="H105" s="159"/>
      <c r="I105" s="159"/>
      <c r="J105" s="159"/>
      <c r="K105" s="159"/>
      <c r="L105" s="159"/>
    </row>
    <row r="106" spans="1:12" x14ac:dyDescent="0.2">
      <c r="A106" s="158"/>
      <c r="B106" s="159"/>
      <c r="C106" s="160"/>
      <c r="D106" s="144"/>
      <c r="E106" s="145"/>
      <c r="F106" s="145"/>
      <c r="G106" s="145"/>
      <c r="H106" s="159"/>
      <c r="I106" s="159"/>
      <c r="J106" s="159"/>
      <c r="K106" s="159"/>
      <c r="L106" s="159"/>
    </row>
    <row r="107" spans="1:12" x14ac:dyDescent="0.2">
      <c r="A107" s="158"/>
      <c r="B107" s="159"/>
      <c r="C107" s="160"/>
      <c r="D107" s="144"/>
      <c r="E107" s="145"/>
      <c r="F107" s="145"/>
      <c r="G107" s="145"/>
      <c r="H107" s="159"/>
      <c r="I107" s="159"/>
      <c r="J107" s="159"/>
      <c r="K107" s="159"/>
      <c r="L107" s="159"/>
    </row>
    <row r="108" spans="1:12" x14ac:dyDescent="0.2">
      <c r="A108" s="158"/>
      <c r="B108" s="159"/>
      <c r="C108" s="160"/>
      <c r="D108" s="144"/>
      <c r="E108" s="145"/>
      <c r="F108" s="145"/>
      <c r="G108" s="145"/>
      <c r="H108" s="159"/>
      <c r="I108" s="159"/>
      <c r="J108" s="159"/>
      <c r="K108" s="159"/>
      <c r="L108" s="159"/>
    </row>
    <row r="109" spans="1:12" x14ac:dyDescent="0.2">
      <c r="A109" s="158"/>
      <c r="B109" s="159"/>
      <c r="C109" s="160"/>
      <c r="D109" s="144"/>
      <c r="E109" s="145"/>
      <c r="F109" s="145"/>
      <c r="G109" s="145"/>
      <c r="H109" s="159"/>
      <c r="I109" s="159"/>
      <c r="J109" s="159"/>
      <c r="K109" s="159"/>
      <c r="L109" s="159"/>
    </row>
    <row r="110" spans="1:12" x14ac:dyDescent="0.2">
      <c r="A110" s="158"/>
      <c r="B110" s="159"/>
      <c r="C110" s="160"/>
      <c r="D110" s="144"/>
      <c r="E110" s="145"/>
      <c r="F110" s="145"/>
      <c r="G110" s="145"/>
      <c r="H110" s="159"/>
      <c r="I110" s="159"/>
      <c r="J110" s="159"/>
      <c r="K110" s="159"/>
      <c r="L110" s="159"/>
    </row>
    <row r="111" spans="1:12" x14ac:dyDescent="0.2">
      <c r="A111" s="158"/>
      <c r="B111" s="159"/>
      <c r="C111" s="160"/>
      <c r="D111" s="144"/>
      <c r="E111" s="145"/>
      <c r="F111" s="145"/>
      <c r="G111" s="145"/>
      <c r="H111" s="159"/>
      <c r="I111" s="159"/>
      <c r="J111" s="159"/>
      <c r="K111" s="159"/>
      <c r="L111" s="159"/>
    </row>
    <row r="112" spans="1:12" x14ac:dyDescent="0.2">
      <c r="A112" s="158"/>
      <c r="B112" s="159"/>
      <c r="C112" s="160"/>
      <c r="D112" s="144"/>
      <c r="E112" s="145"/>
      <c r="F112" s="145"/>
      <c r="G112" s="145"/>
      <c r="H112" s="159"/>
      <c r="I112" s="159"/>
      <c r="J112" s="159"/>
      <c r="K112" s="159"/>
      <c r="L112" s="159"/>
    </row>
    <row r="113" spans="1:12" x14ac:dyDescent="0.2">
      <c r="A113" s="158"/>
      <c r="B113" s="159"/>
      <c r="C113" s="160"/>
      <c r="D113" s="144"/>
      <c r="E113" s="145"/>
      <c r="F113" s="145"/>
      <c r="G113" s="145"/>
      <c r="H113" s="159"/>
      <c r="I113" s="159"/>
      <c r="J113" s="159"/>
      <c r="K113" s="159"/>
      <c r="L113" s="159"/>
    </row>
    <row r="114" spans="1:12" x14ac:dyDescent="0.2">
      <c r="A114" s="158"/>
      <c r="B114" s="159"/>
      <c r="C114" s="160"/>
      <c r="D114" s="144"/>
      <c r="E114" s="145"/>
      <c r="F114" s="145"/>
      <c r="G114" s="145"/>
      <c r="H114" s="159"/>
      <c r="I114" s="159"/>
      <c r="J114" s="159"/>
      <c r="K114" s="159"/>
      <c r="L114" s="159"/>
    </row>
    <row r="115" spans="1:12" x14ac:dyDescent="0.2">
      <c r="A115" s="158"/>
      <c r="B115" s="159"/>
      <c r="C115" s="160"/>
      <c r="D115" s="144"/>
      <c r="E115" s="145"/>
      <c r="F115" s="145"/>
      <c r="G115" s="145"/>
      <c r="H115" s="159"/>
      <c r="I115" s="159"/>
      <c r="J115" s="159"/>
      <c r="K115" s="159"/>
      <c r="L115" s="159"/>
    </row>
    <row r="116" spans="1:12" x14ac:dyDescent="0.2">
      <c r="A116" s="158"/>
      <c r="B116" s="159"/>
      <c r="C116" s="160"/>
      <c r="D116" s="144"/>
      <c r="E116" s="145"/>
      <c r="F116" s="145"/>
      <c r="G116" s="145"/>
      <c r="H116" s="159"/>
      <c r="I116" s="159"/>
      <c r="J116" s="159"/>
      <c r="K116" s="159"/>
      <c r="L116" s="159"/>
    </row>
    <row r="117" spans="1:12" x14ac:dyDescent="0.2">
      <c r="A117" s="158"/>
      <c r="B117" s="159"/>
      <c r="C117" s="160"/>
      <c r="D117" s="144"/>
      <c r="E117" s="145"/>
      <c r="F117" s="145"/>
      <c r="G117" s="145"/>
      <c r="H117" s="159"/>
      <c r="I117" s="159"/>
      <c r="J117" s="159"/>
      <c r="K117" s="159"/>
      <c r="L117" s="159"/>
    </row>
    <row r="118" spans="1:12" x14ac:dyDescent="0.2">
      <c r="A118" s="158"/>
      <c r="B118" s="159"/>
      <c r="C118" s="160"/>
      <c r="D118" s="144"/>
      <c r="E118" s="145"/>
      <c r="F118" s="145"/>
      <c r="G118" s="145"/>
      <c r="H118" s="159"/>
      <c r="I118" s="159"/>
      <c r="J118" s="159"/>
      <c r="K118" s="159"/>
      <c r="L118" s="159"/>
    </row>
    <row r="119" spans="1:12" x14ac:dyDescent="0.2">
      <c r="A119" s="158"/>
      <c r="B119" s="159"/>
      <c r="C119" s="160"/>
      <c r="D119" s="144"/>
      <c r="E119" s="145"/>
      <c r="F119" s="145"/>
      <c r="G119" s="145"/>
      <c r="H119" s="159"/>
      <c r="I119" s="159"/>
      <c r="J119" s="159"/>
      <c r="K119" s="159"/>
      <c r="L119" s="159"/>
    </row>
    <row r="120" spans="1:12" x14ac:dyDescent="0.2">
      <c r="A120" s="158"/>
      <c r="B120" s="159"/>
      <c r="C120" s="160"/>
      <c r="D120" s="144"/>
      <c r="E120" s="145"/>
      <c r="F120" s="145"/>
      <c r="G120" s="145"/>
      <c r="H120" s="159"/>
      <c r="I120" s="159"/>
      <c r="J120" s="159"/>
      <c r="K120" s="159"/>
      <c r="L120" s="159"/>
    </row>
    <row r="121" spans="1:12" x14ac:dyDescent="0.2">
      <c r="A121" s="158"/>
      <c r="B121" s="159"/>
      <c r="C121" s="160"/>
      <c r="D121" s="144"/>
      <c r="E121" s="145"/>
      <c r="F121" s="145"/>
      <c r="G121" s="145"/>
      <c r="H121" s="159"/>
      <c r="I121" s="159"/>
      <c r="J121" s="159"/>
      <c r="K121" s="159"/>
      <c r="L121" s="159"/>
    </row>
    <row r="122" spans="1:12" x14ac:dyDescent="0.2">
      <c r="A122" s="158"/>
      <c r="B122" s="159"/>
      <c r="C122" s="160"/>
      <c r="D122" s="144"/>
      <c r="E122" s="145"/>
      <c r="F122" s="145"/>
      <c r="G122" s="145"/>
      <c r="H122" s="159"/>
      <c r="I122" s="159"/>
      <c r="J122" s="159"/>
      <c r="K122" s="159"/>
      <c r="L122" s="159"/>
    </row>
    <row r="123" spans="1:12" x14ac:dyDescent="0.2">
      <c r="A123" s="158"/>
      <c r="B123" s="159"/>
      <c r="C123" s="160"/>
      <c r="D123" s="144"/>
      <c r="E123" s="145"/>
      <c r="F123" s="145"/>
      <c r="G123" s="145"/>
      <c r="H123" s="159"/>
      <c r="I123" s="159"/>
      <c r="J123" s="159"/>
      <c r="K123" s="159"/>
      <c r="L123" s="159"/>
    </row>
    <row r="124" spans="1:12" x14ac:dyDescent="0.2">
      <c r="A124" s="158"/>
      <c r="B124" s="159"/>
      <c r="C124" s="160"/>
      <c r="D124" s="144"/>
      <c r="E124" s="145"/>
      <c r="F124" s="145"/>
      <c r="G124" s="145"/>
      <c r="H124" s="159"/>
      <c r="I124" s="159"/>
      <c r="J124" s="159"/>
      <c r="K124" s="159"/>
      <c r="L124" s="159"/>
    </row>
    <row r="125" spans="1:12" x14ac:dyDescent="0.2">
      <c r="A125" s="158"/>
      <c r="B125" s="159"/>
      <c r="C125" s="160"/>
      <c r="D125" s="144"/>
      <c r="E125" s="145"/>
      <c r="F125" s="145"/>
      <c r="G125" s="145"/>
      <c r="H125" s="159"/>
      <c r="I125" s="159"/>
      <c r="J125" s="159"/>
      <c r="K125" s="159"/>
      <c r="L125" s="159"/>
    </row>
    <row r="126" spans="1:12" x14ac:dyDescent="0.2">
      <c r="A126" s="158"/>
      <c r="B126" s="159"/>
      <c r="C126" s="160"/>
      <c r="D126" s="144"/>
      <c r="E126" s="145"/>
      <c r="F126" s="145"/>
      <c r="G126" s="145"/>
      <c r="H126" s="159"/>
      <c r="I126" s="159"/>
      <c r="J126" s="159"/>
      <c r="K126" s="159"/>
      <c r="L126" s="159"/>
    </row>
    <row r="127" spans="1:12" x14ac:dyDescent="0.2">
      <c r="A127" s="158"/>
      <c r="B127" s="159"/>
      <c r="C127" s="160"/>
      <c r="D127" s="144"/>
      <c r="E127" s="145"/>
      <c r="F127" s="145"/>
      <c r="G127" s="145"/>
      <c r="H127" s="159"/>
      <c r="I127" s="159"/>
      <c r="J127" s="159"/>
      <c r="K127" s="159"/>
      <c r="L127" s="159"/>
    </row>
    <row r="128" spans="1:12" x14ac:dyDescent="0.2">
      <c r="A128" s="158"/>
      <c r="B128" s="159"/>
      <c r="C128" s="160"/>
      <c r="D128" s="144"/>
      <c r="E128" s="145"/>
      <c r="F128" s="145"/>
      <c r="G128" s="145"/>
      <c r="H128" s="159"/>
      <c r="I128" s="159"/>
      <c r="J128" s="159"/>
      <c r="K128" s="159"/>
      <c r="L128" s="159"/>
    </row>
    <row r="129" spans="1:12" x14ac:dyDescent="0.2">
      <c r="A129" s="158"/>
      <c r="B129" s="159"/>
      <c r="C129" s="160"/>
      <c r="D129" s="144"/>
      <c r="E129" s="145"/>
      <c r="F129" s="145"/>
      <c r="G129" s="145"/>
      <c r="H129" s="159"/>
      <c r="I129" s="159"/>
      <c r="J129" s="159"/>
      <c r="K129" s="159"/>
      <c r="L129" s="159"/>
    </row>
    <row r="130" spans="1:12" x14ac:dyDescent="0.2">
      <c r="A130" s="158"/>
      <c r="B130" s="159"/>
      <c r="C130" s="160"/>
      <c r="D130" s="144"/>
      <c r="E130" s="145"/>
      <c r="F130" s="145"/>
      <c r="G130" s="145"/>
      <c r="H130" s="159"/>
      <c r="I130" s="159"/>
      <c r="J130" s="159"/>
      <c r="K130" s="159"/>
      <c r="L130" s="159"/>
    </row>
    <row r="131" spans="1:12" x14ac:dyDescent="0.2">
      <c r="A131" s="158"/>
      <c r="B131" s="159"/>
      <c r="C131" s="160"/>
      <c r="D131" s="144"/>
      <c r="E131" s="145"/>
      <c r="F131" s="145"/>
      <c r="G131" s="145"/>
      <c r="H131" s="159"/>
      <c r="I131" s="159"/>
      <c r="J131" s="159"/>
      <c r="K131" s="159"/>
      <c r="L131" s="159"/>
    </row>
    <row r="132" spans="1:12" x14ac:dyDescent="0.2">
      <c r="A132" s="158"/>
      <c r="B132" s="159"/>
      <c r="C132" s="160"/>
      <c r="D132" s="144"/>
      <c r="E132" s="145"/>
      <c r="F132" s="145"/>
      <c r="G132" s="145"/>
      <c r="H132" s="159"/>
      <c r="I132" s="159"/>
      <c r="J132" s="159"/>
      <c r="K132" s="159"/>
      <c r="L132" s="159"/>
    </row>
    <row r="133" spans="1:12" x14ac:dyDescent="0.2">
      <c r="A133" s="158"/>
      <c r="B133" s="159"/>
      <c r="C133" s="160"/>
      <c r="D133" s="144"/>
      <c r="E133" s="145"/>
      <c r="F133" s="145"/>
      <c r="G133" s="145"/>
      <c r="H133" s="159"/>
      <c r="I133" s="159"/>
      <c r="J133" s="159"/>
      <c r="K133" s="159"/>
      <c r="L133" s="159"/>
    </row>
    <row r="134" spans="1:12" x14ac:dyDescent="0.2">
      <c r="A134" s="158"/>
      <c r="B134" s="159"/>
      <c r="C134" s="160"/>
      <c r="D134" s="144"/>
      <c r="E134" s="145"/>
      <c r="F134" s="145"/>
      <c r="G134" s="145"/>
      <c r="H134" s="159"/>
      <c r="I134" s="159"/>
      <c r="J134" s="159"/>
      <c r="K134" s="159"/>
      <c r="L134" s="159"/>
    </row>
    <row r="135" spans="1:12" x14ac:dyDescent="0.2">
      <c r="A135" s="158"/>
      <c r="B135" s="159"/>
      <c r="C135" s="160"/>
      <c r="D135" s="144"/>
      <c r="E135" s="145"/>
      <c r="F135" s="145"/>
      <c r="G135" s="145"/>
      <c r="H135" s="159"/>
      <c r="I135" s="159"/>
      <c r="J135" s="159"/>
      <c r="K135" s="159"/>
      <c r="L135" s="159"/>
    </row>
    <row r="136" spans="1:12" x14ac:dyDescent="0.2">
      <c r="A136" s="158"/>
      <c r="B136" s="159"/>
      <c r="C136" s="160"/>
      <c r="D136" s="144"/>
      <c r="E136" s="145"/>
      <c r="F136" s="145"/>
      <c r="G136" s="145"/>
      <c r="H136" s="159"/>
      <c r="I136" s="159"/>
      <c r="J136" s="159"/>
      <c r="K136" s="159"/>
      <c r="L136" s="159"/>
    </row>
    <row r="137" spans="1:12" x14ac:dyDescent="0.2">
      <c r="A137" s="158"/>
      <c r="B137" s="159"/>
      <c r="C137" s="160"/>
      <c r="D137" s="144"/>
      <c r="E137" s="145"/>
      <c r="F137" s="145"/>
      <c r="G137" s="145"/>
      <c r="H137" s="159"/>
      <c r="I137" s="159"/>
      <c r="J137" s="159"/>
      <c r="K137" s="159"/>
      <c r="L137" s="159"/>
    </row>
    <row r="138" spans="1:12" x14ac:dyDescent="0.2">
      <c r="A138" s="158"/>
      <c r="B138" s="159"/>
      <c r="C138" s="160"/>
      <c r="D138" s="144"/>
      <c r="E138" s="145"/>
      <c r="F138" s="145"/>
      <c r="G138" s="145"/>
      <c r="H138" s="159"/>
      <c r="I138" s="159"/>
      <c r="J138" s="159"/>
      <c r="K138" s="159"/>
      <c r="L138" s="159"/>
    </row>
    <row r="139" spans="1:12" x14ac:dyDescent="0.2">
      <c r="A139" s="158"/>
      <c r="B139" s="159"/>
      <c r="C139" s="160"/>
      <c r="D139" s="144"/>
      <c r="E139" s="145"/>
      <c r="F139" s="145"/>
      <c r="G139" s="145"/>
      <c r="H139" s="159"/>
      <c r="I139" s="159"/>
      <c r="J139" s="159"/>
      <c r="K139" s="159"/>
      <c r="L139" s="159"/>
    </row>
    <row r="140" spans="1:12" x14ac:dyDescent="0.2">
      <c r="A140" s="158"/>
      <c r="B140" s="159"/>
      <c r="C140" s="160"/>
      <c r="D140" s="144"/>
      <c r="E140" s="145"/>
      <c r="F140" s="145"/>
      <c r="G140" s="145"/>
      <c r="H140" s="159"/>
      <c r="I140" s="159"/>
      <c r="J140" s="159"/>
      <c r="K140" s="159"/>
      <c r="L140" s="159"/>
    </row>
    <row r="141" spans="1:12" x14ac:dyDescent="0.2">
      <c r="A141" s="158"/>
      <c r="B141" s="159"/>
      <c r="C141" s="160"/>
      <c r="D141" s="144"/>
      <c r="E141" s="145"/>
      <c r="F141" s="145"/>
      <c r="G141" s="145"/>
      <c r="H141" s="159"/>
      <c r="I141" s="159"/>
      <c r="J141" s="159"/>
      <c r="K141" s="159"/>
      <c r="L141" s="159"/>
    </row>
    <row r="142" spans="1:12" x14ac:dyDescent="0.2">
      <c r="A142" s="158"/>
      <c r="B142" s="159"/>
      <c r="C142" s="160"/>
      <c r="D142" s="144"/>
      <c r="E142" s="145"/>
      <c r="F142" s="145"/>
      <c r="G142" s="145"/>
      <c r="H142" s="159"/>
      <c r="I142" s="159"/>
      <c r="J142" s="159"/>
      <c r="K142" s="159"/>
      <c r="L142" s="159"/>
    </row>
    <row r="143" spans="1:12" x14ac:dyDescent="0.2">
      <c r="A143" s="158"/>
      <c r="B143" s="159"/>
      <c r="C143" s="160"/>
      <c r="D143" s="144"/>
      <c r="E143" s="145"/>
      <c r="F143" s="145"/>
      <c r="G143" s="145"/>
      <c r="H143" s="159"/>
      <c r="I143" s="159"/>
      <c r="J143" s="159"/>
      <c r="K143" s="159"/>
      <c r="L143" s="159"/>
    </row>
    <row r="144" spans="1:12" x14ac:dyDescent="0.2">
      <c r="A144" s="158"/>
      <c r="B144" s="159"/>
      <c r="C144" s="160"/>
      <c r="D144" s="144"/>
      <c r="E144" s="145"/>
      <c r="F144" s="145"/>
      <c r="G144" s="145"/>
      <c r="H144" s="159"/>
      <c r="I144" s="159"/>
      <c r="J144" s="159"/>
      <c r="K144" s="159"/>
      <c r="L144" s="159"/>
    </row>
    <row r="145" spans="1:12" x14ac:dyDescent="0.2">
      <c r="A145" s="158"/>
      <c r="B145" s="159"/>
      <c r="C145" s="160"/>
      <c r="D145" s="144"/>
      <c r="E145" s="145"/>
      <c r="F145" s="145"/>
      <c r="G145" s="145"/>
      <c r="H145" s="159"/>
      <c r="I145" s="159"/>
      <c r="J145" s="159"/>
      <c r="K145" s="159"/>
      <c r="L145" s="159"/>
    </row>
    <row r="146" spans="1:12" x14ac:dyDescent="0.2">
      <c r="A146" s="158"/>
      <c r="B146" s="159"/>
      <c r="C146" s="160"/>
      <c r="D146" s="144"/>
      <c r="E146" s="145"/>
      <c r="F146" s="145"/>
      <c r="G146" s="145"/>
      <c r="H146" s="159"/>
      <c r="I146" s="159"/>
      <c r="J146" s="159"/>
      <c r="K146" s="159"/>
      <c r="L146" s="159"/>
    </row>
    <row r="147" spans="1:12" x14ac:dyDescent="0.2">
      <c r="A147" s="158"/>
      <c r="B147" s="159"/>
      <c r="C147" s="160"/>
      <c r="D147" s="144"/>
      <c r="E147" s="145"/>
      <c r="F147" s="145"/>
      <c r="G147" s="145"/>
      <c r="H147" s="159"/>
      <c r="I147" s="159"/>
      <c r="J147" s="159"/>
      <c r="K147" s="159"/>
      <c r="L147" s="159"/>
    </row>
    <row r="148" spans="1:12" x14ac:dyDescent="0.2">
      <c r="A148" s="158"/>
      <c r="B148" s="159"/>
      <c r="C148" s="160"/>
      <c r="D148" s="144"/>
      <c r="E148" s="145"/>
      <c r="F148" s="145"/>
      <c r="G148" s="145"/>
      <c r="H148" s="159"/>
      <c r="I148" s="159"/>
      <c r="J148" s="159"/>
      <c r="K148" s="159"/>
      <c r="L148" s="159"/>
    </row>
    <row r="149" spans="1:12" x14ac:dyDescent="0.2">
      <c r="A149" s="158"/>
      <c r="B149" s="159"/>
      <c r="C149" s="160"/>
      <c r="D149" s="144"/>
      <c r="E149" s="145"/>
      <c r="F149" s="145"/>
      <c r="G149" s="145"/>
      <c r="H149" s="159"/>
      <c r="I149" s="159"/>
      <c r="J149" s="159"/>
      <c r="K149" s="159"/>
      <c r="L149" s="159"/>
    </row>
    <row r="150" spans="1:12" x14ac:dyDescent="0.2">
      <c r="A150" s="158"/>
      <c r="B150" s="159"/>
      <c r="C150" s="160"/>
      <c r="D150" s="144"/>
      <c r="E150" s="145"/>
      <c r="F150" s="145"/>
      <c r="G150" s="145"/>
      <c r="H150" s="159"/>
      <c r="I150" s="159"/>
      <c r="J150" s="159"/>
      <c r="K150" s="159"/>
      <c r="L150" s="159"/>
    </row>
    <row r="151" spans="1:12" x14ac:dyDescent="0.2">
      <c r="A151" s="158"/>
      <c r="B151" s="159"/>
      <c r="C151" s="160"/>
      <c r="D151" s="144"/>
      <c r="E151" s="145"/>
      <c r="F151" s="145"/>
      <c r="G151" s="145"/>
      <c r="H151" s="159"/>
      <c r="I151" s="159"/>
      <c r="J151" s="159"/>
      <c r="K151" s="159"/>
      <c r="L151" s="159"/>
    </row>
    <row r="152" spans="1:12" x14ac:dyDescent="0.2">
      <c r="A152" s="158"/>
      <c r="B152" s="159"/>
      <c r="C152" s="160"/>
      <c r="D152" s="144"/>
      <c r="E152" s="145"/>
      <c r="F152" s="145"/>
      <c r="G152" s="145"/>
      <c r="H152" s="159"/>
      <c r="I152" s="159"/>
      <c r="J152" s="159"/>
      <c r="K152" s="159"/>
      <c r="L152" s="159"/>
    </row>
    <row r="153" spans="1:12" x14ac:dyDescent="0.2">
      <c r="A153" s="158"/>
      <c r="B153" s="159"/>
      <c r="C153" s="160"/>
      <c r="D153" s="144"/>
      <c r="E153" s="145"/>
      <c r="F153" s="145"/>
      <c r="G153" s="145"/>
      <c r="H153" s="159"/>
      <c r="I153" s="159"/>
      <c r="J153" s="159"/>
      <c r="K153" s="159"/>
      <c r="L153" s="159"/>
    </row>
    <row r="154" spans="1:12" x14ac:dyDescent="0.2">
      <c r="A154" s="158"/>
      <c r="B154" s="159"/>
      <c r="C154" s="160"/>
      <c r="D154" s="144"/>
      <c r="E154" s="145"/>
      <c r="F154" s="145"/>
      <c r="G154" s="145"/>
      <c r="H154" s="159"/>
      <c r="I154" s="159"/>
      <c r="J154" s="159"/>
      <c r="K154" s="159"/>
      <c r="L154" s="159"/>
    </row>
    <row r="155" spans="1:12" x14ac:dyDescent="0.2">
      <c r="A155" s="158"/>
      <c r="B155" s="159"/>
      <c r="C155" s="160"/>
      <c r="D155" s="144"/>
      <c r="E155" s="145"/>
      <c r="F155" s="145"/>
      <c r="G155" s="145"/>
      <c r="H155" s="159"/>
      <c r="I155" s="159"/>
      <c r="J155" s="159"/>
      <c r="K155" s="159"/>
      <c r="L155" s="159"/>
    </row>
    <row r="156" spans="1:12" x14ac:dyDescent="0.2">
      <c r="A156" s="158"/>
      <c r="B156" s="159"/>
      <c r="C156" s="160"/>
      <c r="D156" s="144"/>
      <c r="E156" s="145"/>
      <c r="F156" s="145"/>
      <c r="G156" s="145"/>
      <c r="H156" s="159"/>
      <c r="I156" s="159"/>
      <c r="J156" s="159"/>
      <c r="K156" s="159"/>
      <c r="L156" s="159"/>
    </row>
    <row r="157" spans="1:12" x14ac:dyDescent="0.2">
      <c r="A157" s="158"/>
      <c r="B157" s="159"/>
      <c r="C157" s="160"/>
      <c r="D157" s="144"/>
      <c r="E157" s="145"/>
      <c r="F157" s="145"/>
      <c r="G157" s="145"/>
      <c r="H157" s="159"/>
      <c r="I157" s="159"/>
      <c r="J157" s="159"/>
      <c r="K157" s="159"/>
      <c r="L157" s="159"/>
    </row>
    <row r="158" spans="1:12" x14ac:dyDescent="0.2">
      <c r="A158" s="158"/>
      <c r="B158" s="159"/>
      <c r="C158" s="160"/>
      <c r="D158" s="144"/>
      <c r="E158" s="145"/>
      <c r="F158" s="145"/>
      <c r="G158" s="145"/>
      <c r="H158" s="159"/>
      <c r="I158" s="159"/>
      <c r="J158" s="159"/>
      <c r="K158" s="159"/>
      <c r="L158" s="159"/>
    </row>
    <row r="159" spans="1:12" x14ac:dyDescent="0.2">
      <c r="A159" s="158"/>
      <c r="B159" s="159"/>
      <c r="C159" s="160"/>
      <c r="D159" s="144"/>
      <c r="E159" s="145"/>
      <c r="F159" s="145"/>
      <c r="G159" s="145"/>
      <c r="H159" s="159"/>
      <c r="I159" s="159"/>
      <c r="J159" s="159"/>
      <c r="K159" s="159"/>
      <c r="L159" s="159"/>
    </row>
    <row r="160" spans="1:12" x14ac:dyDescent="0.2">
      <c r="A160" s="158"/>
      <c r="B160" s="159"/>
      <c r="C160" s="160"/>
      <c r="D160" s="144"/>
      <c r="E160" s="145"/>
      <c r="F160" s="145"/>
      <c r="G160" s="145"/>
      <c r="H160" s="159"/>
      <c r="I160" s="159"/>
      <c r="J160" s="159"/>
      <c r="K160" s="159"/>
      <c r="L160" s="159"/>
    </row>
    <row r="161" spans="1:12" x14ac:dyDescent="0.2">
      <c r="A161" s="158"/>
      <c r="B161" s="159"/>
      <c r="C161" s="160"/>
      <c r="D161" s="144"/>
      <c r="E161" s="145"/>
      <c r="F161" s="145"/>
      <c r="G161" s="145"/>
      <c r="H161" s="159"/>
      <c r="I161" s="159"/>
      <c r="J161" s="159"/>
      <c r="K161" s="159"/>
      <c r="L161" s="159"/>
    </row>
    <row r="162" spans="1:12" x14ac:dyDescent="0.2">
      <c r="A162" s="158"/>
      <c r="B162" s="159"/>
      <c r="C162" s="160"/>
      <c r="D162" s="144"/>
      <c r="E162" s="145"/>
      <c r="F162" s="145"/>
      <c r="G162" s="145"/>
      <c r="H162" s="159"/>
      <c r="I162" s="159"/>
      <c r="J162" s="159"/>
      <c r="K162" s="159"/>
      <c r="L162" s="159"/>
    </row>
    <row r="163" spans="1:12" x14ac:dyDescent="0.2">
      <c r="A163" s="158"/>
      <c r="B163" s="159"/>
      <c r="C163" s="160"/>
      <c r="D163" s="144"/>
      <c r="E163" s="145"/>
      <c r="F163" s="145"/>
      <c r="G163" s="145"/>
      <c r="H163" s="159"/>
      <c r="I163" s="159"/>
      <c r="J163" s="159"/>
      <c r="K163" s="159"/>
      <c r="L163" s="159"/>
    </row>
    <row r="164" spans="1:12" x14ac:dyDescent="0.2">
      <c r="A164" s="158"/>
      <c r="B164" s="159"/>
      <c r="C164" s="160"/>
      <c r="D164" s="144"/>
      <c r="E164" s="145"/>
      <c r="F164" s="145"/>
      <c r="G164" s="145"/>
      <c r="H164" s="159"/>
      <c r="I164" s="159"/>
      <c r="J164" s="159"/>
      <c r="K164" s="159"/>
      <c r="L164" s="159"/>
    </row>
    <row r="165" spans="1:12" x14ac:dyDescent="0.2">
      <c r="A165" s="158"/>
      <c r="B165" s="159"/>
      <c r="C165" s="160"/>
      <c r="D165" s="144"/>
      <c r="E165" s="145"/>
      <c r="F165" s="145"/>
      <c r="G165" s="145"/>
      <c r="H165" s="159"/>
      <c r="I165" s="159"/>
      <c r="J165" s="159"/>
      <c r="K165" s="159"/>
      <c r="L165" s="159"/>
    </row>
    <row r="166" spans="1:12" x14ac:dyDescent="0.2">
      <c r="A166" s="158"/>
      <c r="B166" s="159"/>
      <c r="C166" s="160"/>
      <c r="D166" s="144"/>
      <c r="E166" s="145"/>
      <c r="F166" s="145"/>
      <c r="G166" s="145"/>
      <c r="H166" s="159"/>
      <c r="I166" s="159"/>
      <c r="J166" s="159"/>
      <c r="K166" s="159"/>
      <c r="L166" s="159"/>
    </row>
    <row r="167" spans="1:12" x14ac:dyDescent="0.2">
      <c r="A167" s="158"/>
      <c r="B167" s="159"/>
      <c r="C167" s="160"/>
      <c r="D167" s="144"/>
      <c r="E167" s="145"/>
      <c r="F167" s="145"/>
      <c r="G167" s="145"/>
      <c r="H167" s="159"/>
      <c r="I167" s="159"/>
      <c r="J167" s="159"/>
      <c r="K167" s="159"/>
      <c r="L167" s="159"/>
    </row>
    <row r="168" spans="1:12" x14ac:dyDescent="0.2">
      <c r="A168" s="158"/>
      <c r="B168" s="159"/>
      <c r="C168" s="160"/>
      <c r="D168" s="144"/>
      <c r="E168" s="145"/>
      <c r="F168" s="145"/>
      <c r="G168" s="145"/>
      <c r="H168" s="159"/>
      <c r="I168" s="159"/>
      <c r="J168" s="159"/>
      <c r="K168" s="159"/>
      <c r="L168" s="159"/>
    </row>
    <row r="169" spans="1:12" x14ac:dyDescent="0.2">
      <c r="A169" s="158"/>
      <c r="B169" s="159"/>
      <c r="C169" s="160"/>
      <c r="D169" s="144"/>
      <c r="E169" s="145"/>
      <c r="F169" s="145"/>
      <c r="G169" s="145"/>
      <c r="H169" s="159"/>
      <c r="I169" s="159"/>
      <c r="J169" s="159"/>
      <c r="K169" s="159"/>
      <c r="L169" s="159"/>
    </row>
    <row r="170" spans="1:12" x14ac:dyDescent="0.2">
      <c r="A170" s="158"/>
      <c r="B170" s="159"/>
      <c r="C170" s="160"/>
      <c r="D170" s="144"/>
      <c r="E170" s="145"/>
      <c r="F170" s="145"/>
      <c r="G170" s="145"/>
      <c r="H170" s="159"/>
      <c r="I170" s="159"/>
      <c r="J170" s="159"/>
      <c r="K170" s="159"/>
      <c r="L170" s="159"/>
    </row>
    <row r="171" spans="1:12" x14ac:dyDescent="0.2">
      <c r="A171" s="158"/>
      <c r="B171" s="159"/>
      <c r="C171" s="160"/>
      <c r="D171" s="144"/>
      <c r="E171" s="145"/>
      <c r="F171" s="145"/>
      <c r="G171" s="145"/>
      <c r="H171" s="159"/>
      <c r="I171" s="159"/>
      <c r="J171" s="159"/>
      <c r="K171" s="159"/>
      <c r="L171" s="159"/>
    </row>
    <row r="172" spans="1:12" x14ac:dyDescent="0.2">
      <c r="A172" s="158"/>
      <c r="B172" s="159"/>
      <c r="C172" s="160"/>
      <c r="D172" s="144"/>
      <c r="E172" s="145"/>
      <c r="F172" s="145"/>
      <c r="G172" s="145"/>
      <c r="H172" s="159"/>
      <c r="I172" s="159"/>
      <c r="J172" s="159"/>
      <c r="K172" s="159"/>
      <c r="L172" s="159"/>
    </row>
    <row r="173" spans="1:12" x14ac:dyDescent="0.2">
      <c r="A173" s="158"/>
      <c r="B173" s="159"/>
      <c r="C173" s="160"/>
      <c r="D173" s="144"/>
      <c r="E173" s="145"/>
      <c r="F173" s="145"/>
      <c r="G173" s="145"/>
      <c r="H173" s="159"/>
      <c r="I173" s="159"/>
      <c r="J173" s="159"/>
      <c r="K173" s="159"/>
      <c r="L173" s="159"/>
    </row>
    <row r="174" spans="1:12" x14ac:dyDescent="0.2">
      <c r="A174" s="158"/>
      <c r="B174" s="159"/>
      <c r="C174" s="160"/>
      <c r="D174" s="144"/>
      <c r="E174" s="145"/>
      <c r="F174" s="145"/>
      <c r="G174" s="145"/>
      <c r="H174" s="159"/>
      <c r="I174" s="159"/>
      <c r="J174" s="159"/>
      <c r="K174" s="159"/>
      <c r="L174" s="159"/>
    </row>
    <row r="175" spans="1:12" x14ac:dyDescent="0.2">
      <c r="A175" s="158"/>
      <c r="B175" s="159"/>
      <c r="C175" s="160"/>
      <c r="D175" s="144"/>
      <c r="E175" s="145"/>
      <c r="F175" s="145"/>
      <c r="G175" s="145"/>
      <c r="H175" s="159"/>
      <c r="I175" s="159"/>
      <c r="J175" s="159"/>
      <c r="K175" s="159"/>
      <c r="L175" s="159"/>
    </row>
    <row r="176" spans="1:12" x14ac:dyDescent="0.2">
      <c r="A176" s="158"/>
      <c r="B176" s="159"/>
      <c r="C176" s="160"/>
      <c r="D176" s="144"/>
      <c r="E176" s="145"/>
      <c r="F176" s="145"/>
      <c r="G176" s="145"/>
      <c r="H176" s="159"/>
      <c r="I176" s="159"/>
      <c r="J176" s="159"/>
      <c r="K176" s="159"/>
      <c r="L176" s="159"/>
    </row>
    <row r="177" spans="1:12" x14ac:dyDescent="0.2">
      <c r="A177" s="158"/>
      <c r="B177" s="159"/>
      <c r="C177" s="160"/>
      <c r="D177" s="144"/>
      <c r="E177" s="145"/>
      <c r="F177" s="145"/>
      <c r="G177" s="145"/>
      <c r="H177" s="159"/>
      <c r="I177" s="159"/>
      <c r="J177" s="159"/>
      <c r="K177" s="159"/>
      <c r="L177" s="159"/>
    </row>
    <row r="178" spans="1:12" x14ac:dyDescent="0.2">
      <c r="A178" s="158"/>
      <c r="B178" s="159"/>
      <c r="C178" s="160"/>
      <c r="D178" s="144"/>
      <c r="E178" s="145"/>
      <c r="F178" s="145"/>
      <c r="G178" s="145"/>
      <c r="H178" s="159"/>
      <c r="I178" s="159"/>
      <c r="J178" s="159"/>
      <c r="K178" s="159"/>
      <c r="L178" s="159"/>
    </row>
    <row r="179" spans="1:12" x14ac:dyDescent="0.2">
      <c r="A179" s="158"/>
      <c r="B179" s="159"/>
      <c r="C179" s="160"/>
      <c r="D179" s="144"/>
      <c r="E179" s="145"/>
      <c r="F179" s="145"/>
      <c r="G179" s="145"/>
      <c r="H179" s="159"/>
      <c r="I179" s="159"/>
      <c r="J179" s="159"/>
      <c r="K179" s="159"/>
      <c r="L179" s="159"/>
    </row>
    <row r="180" spans="1:12" x14ac:dyDescent="0.2">
      <c r="A180" s="158"/>
      <c r="B180" s="159"/>
      <c r="C180" s="160"/>
      <c r="D180" s="144"/>
      <c r="E180" s="145"/>
      <c r="F180" s="145"/>
      <c r="G180" s="145"/>
      <c r="H180" s="159"/>
      <c r="I180" s="159"/>
      <c r="J180" s="159"/>
      <c r="K180" s="159"/>
      <c r="L180" s="159"/>
    </row>
    <row r="181" spans="1:12" x14ac:dyDescent="0.2">
      <c r="A181" s="158"/>
      <c r="B181" s="159"/>
      <c r="C181" s="160"/>
      <c r="D181" s="144"/>
      <c r="E181" s="145"/>
      <c r="F181" s="145"/>
      <c r="G181" s="145"/>
      <c r="H181" s="159"/>
      <c r="I181" s="159"/>
      <c r="J181" s="159"/>
      <c r="K181" s="159"/>
      <c r="L181" s="159"/>
    </row>
    <row r="182" spans="1:12" x14ac:dyDescent="0.2">
      <c r="A182" s="158"/>
      <c r="B182" s="159"/>
      <c r="C182" s="160"/>
      <c r="D182" s="144"/>
      <c r="E182" s="145"/>
      <c r="F182" s="145"/>
      <c r="G182" s="145"/>
      <c r="H182" s="159"/>
      <c r="I182" s="159"/>
      <c r="J182" s="159"/>
      <c r="K182" s="159"/>
      <c r="L182" s="159"/>
    </row>
    <row r="183" spans="1:12" x14ac:dyDescent="0.2">
      <c r="A183" s="158"/>
      <c r="B183" s="159"/>
      <c r="C183" s="160"/>
      <c r="D183" s="144"/>
      <c r="E183" s="145"/>
      <c r="F183" s="145"/>
      <c r="G183" s="145"/>
      <c r="H183" s="159"/>
      <c r="I183" s="159"/>
      <c r="J183" s="159"/>
      <c r="K183" s="159"/>
      <c r="L183" s="159"/>
    </row>
    <row r="184" spans="1:12" x14ac:dyDescent="0.2">
      <c r="A184" s="158"/>
      <c r="B184" s="159"/>
      <c r="C184" s="160"/>
      <c r="D184" s="144"/>
      <c r="E184" s="145"/>
      <c r="F184" s="145"/>
      <c r="G184" s="145"/>
      <c r="H184" s="159"/>
      <c r="I184" s="159"/>
      <c r="J184" s="159"/>
      <c r="K184" s="159"/>
      <c r="L184" s="159"/>
    </row>
    <row r="185" spans="1:12" x14ac:dyDescent="0.2">
      <c r="A185" s="158"/>
      <c r="B185" s="159"/>
      <c r="C185" s="160"/>
      <c r="D185" s="144"/>
      <c r="E185" s="145"/>
      <c r="F185" s="145"/>
      <c r="G185" s="145"/>
      <c r="H185" s="159"/>
      <c r="I185" s="159"/>
      <c r="J185" s="159"/>
      <c r="K185" s="159"/>
      <c r="L185" s="159"/>
    </row>
    <row r="186" spans="1:12" x14ac:dyDescent="0.2">
      <c r="A186" s="158"/>
      <c r="B186" s="159"/>
      <c r="C186" s="160"/>
      <c r="D186" s="144"/>
      <c r="E186" s="145"/>
      <c r="F186" s="145"/>
      <c r="G186" s="145"/>
      <c r="H186" s="159"/>
      <c r="I186" s="159"/>
      <c r="J186" s="159"/>
      <c r="K186" s="159"/>
      <c r="L186" s="159"/>
    </row>
    <row r="187" spans="1:12" x14ac:dyDescent="0.2">
      <c r="A187" s="158"/>
      <c r="B187" s="159"/>
      <c r="C187" s="160"/>
      <c r="D187" s="144"/>
      <c r="E187" s="145"/>
      <c r="F187" s="145"/>
      <c r="G187" s="145"/>
      <c r="H187" s="159"/>
      <c r="I187" s="159"/>
      <c r="J187" s="159"/>
      <c r="K187" s="159"/>
      <c r="L187" s="159"/>
    </row>
    <row r="188" spans="1:12" x14ac:dyDescent="0.2">
      <c r="A188" s="158"/>
      <c r="B188" s="159"/>
      <c r="C188" s="160"/>
      <c r="D188" s="144"/>
      <c r="E188" s="145"/>
      <c r="F188" s="145"/>
      <c r="G188" s="145"/>
      <c r="H188" s="159"/>
      <c r="I188" s="159"/>
      <c r="J188" s="159"/>
      <c r="K188" s="159"/>
      <c r="L188" s="159"/>
    </row>
    <row r="189" spans="1:12" x14ac:dyDescent="0.2">
      <c r="A189" s="158"/>
      <c r="B189" s="159"/>
      <c r="C189" s="160"/>
      <c r="D189" s="144"/>
      <c r="E189" s="145"/>
      <c r="F189" s="145"/>
      <c r="G189" s="145"/>
      <c r="H189" s="159"/>
      <c r="I189" s="159"/>
      <c r="J189" s="159"/>
      <c r="K189" s="159"/>
      <c r="L189" s="159"/>
    </row>
    <row r="190" spans="1:12" x14ac:dyDescent="0.2">
      <c r="A190" s="158"/>
      <c r="B190" s="159"/>
      <c r="C190" s="160"/>
      <c r="D190" s="144"/>
      <c r="E190" s="145"/>
      <c r="F190" s="145"/>
      <c r="G190" s="145"/>
      <c r="H190" s="159"/>
      <c r="I190" s="159"/>
      <c r="J190" s="159"/>
      <c r="K190" s="159"/>
      <c r="L190" s="159"/>
    </row>
    <row r="191" spans="1:12" x14ac:dyDescent="0.2">
      <c r="A191" s="158"/>
      <c r="B191" s="159"/>
      <c r="C191" s="160"/>
      <c r="D191" s="144"/>
      <c r="E191" s="145"/>
      <c r="F191" s="145"/>
      <c r="G191" s="145"/>
      <c r="H191" s="159"/>
      <c r="I191" s="159"/>
      <c r="J191" s="159"/>
      <c r="K191" s="159"/>
      <c r="L191" s="159"/>
    </row>
    <row r="192" spans="1:12" x14ac:dyDescent="0.2">
      <c r="A192" s="158"/>
      <c r="B192" s="159"/>
      <c r="C192" s="160"/>
      <c r="D192" s="144"/>
      <c r="E192" s="145"/>
      <c r="F192" s="145"/>
      <c r="G192" s="145"/>
      <c r="H192" s="159"/>
      <c r="I192" s="159"/>
      <c r="J192" s="159"/>
      <c r="K192" s="159"/>
      <c r="L192" s="159"/>
    </row>
    <row r="193" spans="1:12" x14ac:dyDescent="0.2">
      <c r="A193" s="158"/>
      <c r="B193" s="159"/>
      <c r="C193" s="160"/>
      <c r="D193" s="144"/>
      <c r="E193" s="145"/>
      <c r="F193" s="145"/>
      <c r="G193" s="145"/>
      <c r="H193" s="159"/>
      <c r="I193" s="159"/>
      <c r="J193" s="159"/>
      <c r="K193" s="159"/>
      <c r="L193" s="159"/>
    </row>
    <row r="194" spans="1:12" x14ac:dyDescent="0.2">
      <c r="A194" s="158"/>
      <c r="B194" s="159"/>
      <c r="C194" s="160"/>
      <c r="D194" s="144"/>
      <c r="E194" s="145"/>
      <c r="F194" s="145"/>
      <c r="G194" s="145"/>
      <c r="H194" s="159"/>
      <c r="I194" s="159"/>
      <c r="J194" s="159"/>
      <c r="K194" s="159"/>
      <c r="L194" s="159"/>
    </row>
    <row r="195" spans="1:12" x14ac:dyDescent="0.2">
      <c r="A195" s="158"/>
      <c r="B195" s="159"/>
      <c r="C195" s="160"/>
      <c r="D195" s="144"/>
      <c r="E195" s="145"/>
      <c r="F195" s="145"/>
      <c r="G195" s="145"/>
      <c r="H195" s="159"/>
      <c r="I195" s="159"/>
      <c r="J195" s="159"/>
      <c r="K195" s="159"/>
      <c r="L195" s="159"/>
    </row>
    <row r="196" spans="1:12" x14ac:dyDescent="0.2">
      <c r="A196" s="158"/>
      <c r="B196" s="159"/>
      <c r="C196" s="160"/>
      <c r="D196" s="144"/>
      <c r="E196" s="145"/>
      <c r="F196" s="145"/>
      <c r="G196" s="145"/>
      <c r="H196" s="159"/>
      <c r="I196" s="159"/>
      <c r="J196" s="159"/>
      <c r="K196" s="159"/>
      <c r="L196" s="159"/>
    </row>
    <row r="197" spans="1:12" x14ac:dyDescent="0.2">
      <c r="A197" s="158"/>
      <c r="B197" s="159"/>
      <c r="C197" s="160"/>
      <c r="D197" s="144"/>
      <c r="E197" s="145"/>
      <c r="F197" s="145"/>
      <c r="G197" s="145"/>
      <c r="H197" s="159"/>
      <c r="I197" s="159"/>
      <c r="J197" s="159"/>
      <c r="K197" s="159"/>
      <c r="L197" s="159"/>
    </row>
    <row r="198" spans="1:12" x14ac:dyDescent="0.2">
      <c r="A198" s="158"/>
      <c r="B198" s="159"/>
      <c r="C198" s="160"/>
      <c r="D198" s="144"/>
      <c r="E198" s="145"/>
      <c r="F198" s="145"/>
      <c r="G198" s="145"/>
      <c r="H198" s="159"/>
      <c r="I198" s="159"/>
      <c r="J198" s="159"/>
      <c r="K198" s="159"/>
      <c r="L198" s="159"/>
    </row>
    <row r="199" spans="1:12" x14ac:dyDescent="0.2">
      <c r="A199" s="158"/>
      <c r="B199" s="159"/>
      <c r="C199" s="160"/>
      <c r="D199" s="144"/>
      <c r="E199" s="145"/>
      <c r="F199" s="145"/>
      <c r="G199" s="145"/>
      <c r="H199" s="159"/>
      <c r="I199" s="159"/>
      <c r="J199" s="159"/>
      <c r="K199" s="159"/>
      <c r="L199" s="159"/>
    </row>
    <row r="200" spans="1:12" x14ac:dyDescent="0.2">
      <c r="A200" s="158"/>
      <c r="B200" s="159"/>
      <c r="C200" s="160"/>
      <c r="D200" s="144"/>
      <c r="E200" s="145"/>
      <c r="F200" s="145"/>
      <c r="G200" s="145"/>
      <c r="H200" s="159"/>
      <c r="I200" s="159"/>
      <c r="J200" s="159"/>
      <c r="K200" s="159"/>
      <c r="L200" s="159"/>
    </row>
    <row r="201" spans="1:12" x14ac:dyDescent="0.2">
      <c r="A201" s="158"/>
      <c r="B201" s="159"/>
      <c r="C201" s="160"/>
      <c r="D201" s="144"/>
      <c r="E201" s="145"/>
      <c r="F201" s="145"/>
      <c r="G201" s="145"/>
      <c r="H201" s="159"/>
      <c r="I201" s="159"/>
      <c r="J201" s="159"/>
      <c r="K201" s="159"/>
      <c r="L201" s="159"/>
    </row>
    <row r="202" spans="1:12" x14ac:dyDescent="0.2">
      <c r="A202" s="158"/>
      <c r="B202" s="159"/>
      <c r="C202" s="160"/>
      <c r="D202" s="144"/>
      <c r="E202" s="145"/>
      <c r="F202" s="145"/>
      <c r="G202" s="145"/>
      <c r="H202" s="159"/>
      <c r="I202" s="159"/>
      <c r="J202" s="159"/>
      <c r="K202" s="159"/>
      <c r="L202" s="159"/>
    </row>
    <row r="203" spans="1:12" x14ac:dyDescent="0.2">
      <c r="A203" s="158"/>
      <c r="B203" s="159"/>
      <c r="C203" s="160"/>
      <c r="D203" s="144"/>
      <c r="E203" s="145"/>
      <c r="F203" s="145"/>
      <c r="G203" s="145"/>
      <c r="H203" s="159"/>
      <c r="I203" s="159"/>
      <c r="J203" s="159"/>
      <c r="K203" s="159"/>
      <c r="L203" s="159"/>
    </row>
    <row r="204" spans="1:12" x14ac:dyDescent="0.2">
      <c r="A204" s="158"/>
      <c r="B204" s="159"/>
      <c r="C204" s="160"/>
      <c r="D204" s="144"/>
      <c r="E204" s="145"/>
      <c r="F204" s="145"/>
      <c r="G204" s="145"/>
      <c r="H204" s="159"/>
      <c r="I204" s="159"/>
      <c r="J204" s="159"/>
      <c r="K204" s="159"/>
      <c r="L204" s="159"/>
    </row>
    <row r="205" spans="1:12" x14ac:dyDescent="0.2">
      <c r="A205" s="158"/>
      <c r="B205" s="159"/>
      <c r="C205" s="160"/>
      <c r="D205" s="144"/>
      <c r="E205" s="145"/>
      <c r="F205" s="145"/>
      <c r="G205" s="145"/>
      <c r="H205" s="159"/>
      <c r="I205" s="159"/>
      <c r="J205" s="159"/>
      <c r="K205" s="159"/>
      <c r="L205" s="159"/>
    </row>
    <row r="206" spans="1:12" x14ac:dyDescent="0.2">
      <c r="A206" s="158"/>
      <c r="B206" s="159"/>
      <c r="C206" s="160"/>
      <c r="D206" s="144"/>
      <c r="E206" s="145"/>
      <c r="F206" s="145"/>
      <c r="G206" s="145"/>
      <c r="H206" s="159"/>
      <c r="I206" s="159"/>
      <c r="J206" s="159"/>
      <c r="K206" s="159"/>
      <c r="L206" s="159"/>
    </row>
    <row r="207" spans="1:12" x14ac:dyDescent="0.2">
      <c r="A207" s="158"/>
      <c r="B207" s="159"/>
      <c r="C207" s="160"/>
      <c r="D207" s="144"/>
      <c r="E207" s="145"/>
      <c r="F207" s="145"/>
      <c r="G207" s="145"/>
      <c r="H207" s="159"/>
      <c r="I207" s="159"/>
      <c r="J207" s="159"/>
      <c r="K207" s="159"/>
      <c r="L207" s="159"/>
    </row>
    <row r="208" spans="1:12" x14ac:dyDescent="0.2">
      <c r="A208" s="158"/>
      <c r="B208" s="159"/>
      <c r="C208" s="160"/>
      <c r="D208" s="144"/>
      <c r="E208" s="145"/>
      <c r="F208" s="145"/>
      <c r="G208" s="145"/>
      <c r="H208" s="159"/>
      <c r="I208" s="159"/>
      <c r="J208" s="159"/>
      <c r="K208" s="159"/>
      <c r="L208" s="159"/>
    </row>
    <row r="209" spans="1:12" x14ac:dyDescent="0.2">
      <c r="A209" s="158"/>
      <c r="B209" s="159"/>
      <c r="C209" s="160"/>
      <c r="D209" s="144"/>
      <c r="E209" s="145"/>
      <c r="F209" s="145"/>
      <c r="G209" s="145"/>
      <c r="H209" s="159"/>
      <c r="I209" s="159"/>
      <c r="J209" s="159"/>
      <c r="K209" s="159"/>
      <c r="L209" s="159"/>
    </row>
    <row r="210" spans="1:12" x14ac:dyDescent="0.2">
      <c r="A210" s="158"/>
      <c r="B210" s="159"/>
      <c r="C210" s="160"/>
      <c r="D210" s="144"/>
      <c r="E210" s="145"/>
      <c r="F210" s="145"/>
      <c r="G210" s="145"/>
      <c r="H210" s="159"/>
      <c r="I210" s="159"/>
      <c r="J210" s="159"/>
      <c r="K210" s="159"/>
      <c r="L210" s="159"/>
    </row>
    <row r="211" spans="1:12" x14ac:dyDescent="0.2">
      <c r="A211" s="158"/>
      <c r="B211" s="159"/>
      <c r="C211" s="160"/>
      <c r="D211" s="144"/>
      <c r="E211" s="145"/>
      <c r="F211" s="145"/>
      <c r="G211" s="145"/>
      <c r="H211" s="159"/>
      <c r="I211" s="159"/>
      <c r="J211" s="159"/>
      <c r="K211" s="159"/>
      <c r="L211" s="159"/>
    </row>
    <row r="212" spans="1:12" x14ac:dyDescent="0.2">
      <c r="A212" s="158"/>
      <c r="B212" s="159"/>
      <c r="C212" s="160"/>
      <c r="D212" s="144"/>
      <c r="E212" s="145"/>
      <c r="F212" s="145"/>
      <c r="G212" s="145"/>
      <c r="H212" s="159"/>
      <c r="I212" s="159"/>
      <c r="J212" s="159"/>
      <c r="K212" s="159"/>
      <c r="L212" s="159"/>
    </row>
    <row r="213" spans="1:12" x14ac:dyDescent="0.2">
      <c r="A213" s="158"/>
      <c r="B213" s="159"/>
      <c r="C213" s="160"/>
      <c r="D213" s="144"/>
      <c r="E213" s="145"/>
      <c r="F213" s="145"/>
      <c r="G213" s="145"/>
      <c r="H213" s="159"/>
      <c r="I213" s="159"/>
      <c r="J213" s="159"/>
      <c r="K213" s="159"/>
      <c r="L213" s="159"/>
    </row>
    <row r="214" spans="1:12" x14ac:dyDescent="0.2">
      <c r="A214" s="158"/>
      <c r="B214" s="159"/>
      <c r="C214" s="160"/>
      <c r="D214" s="144"/>
      <c r="E214" s="145"/>
      <c r="F214" s="145"/>
      <c r="G214" s="145"/>
      <c r="H214" s="159"/>
      <c r="I214" s="159"/>
      <c r="J214" s="159"/>
      <c r="K214" s="159"/>
      <c r="L214" s="159"/>
    </row>
    <row r="215" spans="1:12" x14ac:dyDescent="0.2">
      <c r="A215" s="158"/>
      <c r="B215" s="159"/>
      <c r="C215" s="160"/>
      <c r="D215" s="144"/>
      <c r="E215" s="145"/>
      <c r="F215" s="145"/>
      <c r="G215" s="145"/>
      <c r="H215" s="159"/>
      <c r="I215" s="159"/>
      <c r="J215" s="159"/>
      <c r="K215" s="159"/>
      <c r="L215" s="159"/>
    </row>
    <row r="216" spans="1:12" x14ac:dyDescent="0.2">
      <c r="A216" s="158"/>
      <c r="B216" s="159"/>
      <c r="C216" s="160"/>
      <c r="D216" s="144"/>
      <c r="E216" s="145"/>
      <c r="F216" s="145"/>
      <c r="G216" s="145"/>
      <c r="H216" s="159"/>
      <c r="I216" s="159"/>
      <c r="J216" s="159"/>
      <c r="K216" s="159"/>
      <c r="L216" s="159"/>
    </row>
    <row r="217" spans="1:12" x14ac:dyDescent="0.2">
      <c r="A217" s="158"/>
      <c r="B217" s="159"/>
      <c r="C217" s="160"/>
      <c r="D217" s="144"/>
      <c r="E217" s="145"/>
      <c r="F217" s="145"/>
      <c r="G217" s="145"/>
      <c r="H217" s="159"/>
      <c r="I217" s="159"/>
      <c r="J217" s="159"/>
      <c r="K217" s="159"/>
      <c r="L217" s="159"/>
    </row>
    <row r="218" spans="1:12" x14ac:dyDescent="0.2">
      <c r="A218" s="158"/>
      <c r="B218" s="159"/>
      <c r="C218" s="160"/>
      <c r="D218" s="144"/>
      <c r="E218" s="145"/>
      <c r="F218" s="145"/>
      <c r="G218" s="145"/>
      <c r="H218" s="159"/>
      <c r="I218" s="159"/>
      <c r="J218" s="159"/>
      <c r="K218" s="159"/>
      <c r="L218" s="159"/>
    </row>
    <row r="219" spans="1:12" x14ac:dyDescent="0.2">
      <c r="A219" s="158"/>
      <c r="B219" s="159"/>
      <c r="C219" s="160"/>
      <c r="D219" s="144"/>
      <c r="E219" s="145"/>
      <c r="F219" s="145"/>
      <c r="G219" s="145"/>
      <c r="H219" s="159"/>
      <c r="I219" s="159"/>
      <c r="J219" s="159"/>
      <c r="K219" s="159"/>
      <c r="L219" s="159"/>
    </row>
    <row r="220" spans="1:12" x14ac:dyDescent="0.2">
      <c r="A220" s="158"/>
      <c r="B220" s="159"/>
      <c r="C220" s="160"/>
      <c r="D220" s="144"/>
      <c r="E220" s="145"/>
      <c r="F220" s="145"/>
      <c r="G220" s="145"/>
      <c r="H220" s="159"/>
      <c r="I220" s="159"/>
      <c r="J220" s="159"/>
      <c r="K220" s="159"/>
      <c r="L220" s="159"/>
    </row>
    <row r="221" spans="1:12" x14ac:dyDescent="0.2">
      <c r="A221" s="158"/>
      <c r="B221" s="159"/>
      <c r="C221" s="160"/>
      <c r="D221" s="144"/>
      <c r="E221" s="145"/>
      <c r="F221" s="145"/>
      <c r="G221" s="145"/>
      <c r="H221" s="159"/>
      <c r="I221" s="159"/>
      <c r="J221" s="159"/>
      <c r="K221" s="159"/>
      <c r="L221" s="159"/>
    </row>
    <row r="222" spans="1:12" x14ac:dyDescent="0.2">
      <c r="A222" s="158"/>
      <c r="B222" s="159"/>
      <c r="C222" s="160"/>
      <c r="D222" s="144"/>
      <c r="E222" s="145"/>
      <c r="F222" s="145"/>
      <c r="G222" s="145"/>
      <c r="H222" s="159"/>
      <c r="I222" s="159"/>
      <c r="J222" s="159"/>
      <c r="K222" s="159"/>
      <c r="L222" s="159"/>
    </row>
    <row r="223" spans="1:12" x14ac:dyDescent="0.2">
      <c r="A223" s="158"/>
      <c r="B223" s="159"/>
      <c r="C223" s="160"/>
      <c r="D223" s="144"/>
      <c r="E223" s="145"/>
      <c r="F223" s="145"/>
      <c r="G223" s="145"/>
      <c r="H223" s="159"/>
      <c r="I223" s="159"/>
      <c r="J223" s="159"/>
      <c r="K223" s="159"/>
      <c r="L223" s="159"/>
    </row>
    <row r="224" spans="1:12" x14ac:dyDescent="0.2">
      <c r="A224" s="158"/>
      <c r="B224" s="159"/>
      <c r="C224" s="160"/>
      <c r="D224" s="144"/>
      <c r="E224" s="145"/>
      <c r="F224" s="145"/>
      <c r="G224" s="145"/>
      <c r="H224" s="159"/>
      <c r="I224" s="159"/>
      <c r="J224" s="159"/>
      <c r="K224" s="159"/>
      <c r="L224" s="159"/>
    </row>
    <row r="225" spans="1:12" x14ac:dyDescent="0.2">
      <c r="A225" s="158"/>
      <c r="B225" s="159"/>
      <c r="C225" s="160"/>
      <c r="D225" s="144"/>
      <c r="E225" s="145"/>
      <c r="F225" s="145"/>
      <c r="G225" s="145"/>
      <c r="H225" s="159"/>
      <c r="I225" s="159"/>
      <c r="J225" s="159"/>
      <c r="K225" s="159"/>
      <c r="L225" s="159"/>
    </row>
    <row r="226" spans="1:12" x14ac:dyDescent="0.2">
      <c r="A226" s="158"/>
      <c r="B226" s="159"/>
      <c r="C226" s="160"/>
      <c r="D226" s="144"/>
      <c r="E226" s="145"/>
      <c r="F226" s="145"/>
      <c r="G226" s="145"/>
      <c r="H226" s="159"/>
      <c r="I226" s="159"/>
      <c r="J226" s="159"/>
      <c r="K226" s="159"/>
      <c r="L226" s="159"/>
    </row>
    <row r="227" spans="1:12" x14ac:dyDescent="0.2">
      <c r="A227" s="158"/>
      <c r="B227" s="159"/>
      <c r="C227" s="160"/>
      <c r="D227" s="144"/>
      <c r="E227" s="145"/>
      <c r="F227" s="145"/>
      <c r="G227" s="145"/>
      <c r="H227" s="159"/>
      <c r="I227" s="159"/>
      <c r="J227" s="159"/>
      <c r="K227" s="159"/>
      <c r="L227" s="159"/>
    </row>
    <row r="228" spans="1:12" x14ac:dyDescent="0.2">
      <c r="A228" s="158"/>
      <c r="B228" s="159"/>
      <c r="C228" s="160"/>
      <c r="D228" s="144"/>
      <c r="E228" s="145"/>
      <c r="F228" s="145"/>
      <c r="G228" s="145"/>
      <c r="H228" s="159"/>
      <c r="I228" s="159"/>
      <c r="J228" s="159"/>
      <c r="K228" s="159"/>
      <c r="L228" s="159"/>
    </row>
    <row r="229" spans="1:12" x14ac:dyDescent="0.2">
      <c r="A229" s="158"/>
      <c r="B229" s="159"/>
      <c r="C229" s="160"/>
      <c r="D229" s="144"/>
      <c r="E229" s="145"/>
      <c r="F229" s="145"/>
      <c r="G229" s="145"/>
      <c r="H229" s="159"/>
      <c r="I229" s="159"/>
      <c r="J229" s="159"/>
      <c r="K229" s="159"/>
      <c r="L229" s="159"/>
    </row>
    <row r="230" spans="1:12" x14ac:dyDescent="0.2">
      <c r="A230" s="158"/>
      <c r="B230" s="159"/>
      <c r="C230" s="160"/>
      <c r="D230" s="144"/>
      <c r="E230" s="145"/>
      <c r="F230" s="145"/>
      <c r="G230" s="145"/>
      <c r="H230" s="159"/>
      <c r="I230" s="159"/>
      <c r="J230" s="159"/>
      <c r="K230" s="159"/>
      <c r="L230" s="159"/>
    </row>
    <row r="231" spans="1:12" x14ac:dyDescent="0.2">
      <c r="A231" s="158"/>
      <c r="B231" s="159"/>
      <c r="C231" s="160"/>
      <c r="D231" s="144"/>
      <c r="E231" s="145"/>
      <c r="F231" s="145"/>
      <c r="G231" s="145"/>
      <c r="H231" s="159"/>
      <c r="I231" s="159"/>
      <c r="J231" s="159"/>
      <c r="K231" s="159"/>
      <c r="L231" s="159"/>
    </row>
    <row r="232" spans="1:12" x14ac:dyDescent="0.2">
      <c r="A232" s="158"/>
      <c r="B232" s="159"/>
      <c r="C232" s="160"/>
      <c r="D232" s="144"/>
      <c r="E232" s="145"/>
      <c r="F232" s="145"/>
      <c r="G232" s="145"/>
      <c r="H232" s="159"/>
      <c r="I232" s="159"/>
      <c r="J232" s="159"/>
      <c r="K232" s="159"/>
      <c r="L232" s="159"/>
    </row>
    <row r="233" spans="1:12" x14ac:dyDescent="0.2">
      <c r="A233" s="158"/>
      <c r="B233" s="159"/>
      <c r="C233" s="160"/>
      <c r="D233" s="144"/>
      <c r="E233" s="145"/>
      <c r="F233" s="145"/>
      <c r="G233" s="145"/>
      <c r="H233" s="159"/>
      <c r="I233" s="159"/>
      <c r="J233" s="159"/>
      <c r="K233" s="159"/>
      <c r="L233" s="159"/>
    </row>
    <row r="234" spans="1:12" x14ac:dyDescent="0.2">
      <c r="A234" s="158"/>
      <c r="B234" s="159"/>
      <c r="C234" s="160"/>
      <c r="D234" s="144"/>
      <c r="E234" s="145"/>
      <c r="F234" s="145"/>
      <c r="G234" s="145"/>
      <c r="H234" s="159"/>
      <c r="I234" s="159"/>
      <c r="J234" s="159"/>
      <c r="K234" s="159"/>
      <c r="L234" s="159"/>
    </row>
    <row r="235" spans="1:12" x14ac:dyDescent="0.2">
      <c r="A235" s="158"/>
      <c r="B235" s="159"/>
      <c r="C235" s="160"/>
      <c r="D235" s="144"/>
      <c r="E235" s="145"/>
      <c r="F235" s="145"/>
      <c r="G235" s="145"/>
      <c r="H235" s="159"/>
      <c r="I235" s="159"/>
      <c r="J235" s="159"/>
      <c r="K235" s="159"/>
      <c r="L235" s="159"/>
    </row>
    <row r="236" spans="1:12" x14ac:dyDescent="0.2">
      <c r="A236" s="158"/>
      <c r="B236" s="159"/>
      <c r="C236" s="160"/>
      <c r="D236" s="144"/>
      <c r="E236" s="145"/>
      <c r="F236" s="145"/>
      <c r="G236" s="145"/>
      <c r="H236" s="159"/>
      <c r="I236" s="159"/>
      <c r="J236" s="159"/>
      <c r="K236" s="159"/>
      <c r="L236" s="159"/>
    </row>
    <row r="237" spans="1:12" x14ac:dyDescent="0.2">
      <c r="A237" s="158"/>
      <c r="B237" s="159"/>
      <c r="C237" s="160"/>
      <c r="D237" s="144"/>
      <c r="E237" s="145"/>
      <c r="F237" s="145"/>
      <c r="G237" s="145"/>
      <c r="H237" s="159"/>
      <c r="I237" s="159"/>
      <c r="J237" s="159"/>
      <c r="K237" s="159"/>
      <c r="L237" s="159"/>
    </row>
    <row r="238" spans="1:12" x14ac:dyDescent="0.2">
      <c r="A238" s="158"/>
      <c r="B238" s="159"/>
      <c r="C238" s="160"/>
      <c r="D238" s="144"/>
      <c r="E238" s="145"/>
      <c r="F238" s="145"/>
      <c r="G238" s="145"/>
      <c r="H238" s="159"/>
      <c r="I238" s="159"/>
      <c r="J238" s="159"/>
      <c r="K238" s="159"/>
      <c r="L238" s="159"/>
    </row>
    <row r="239" spans="1:12" x14ac:dyDescent="0.2">
      <c r="A239" s="158"/>
      <c r="B239" s="159"/>
      <c r="C239" s="160"/>
      <c r="D239" s="144"/>
      <c r="E239" s="145"/>
      <c r="F239" s="145"/>
      <c r="G239" s="145"/>
      <c r="H239" s="159"/>
      <c r="I239" s="159"/>
      <c r="J239" s="159"/>
      <c r="K239" s="159"/>
      <c r="L239" s="159"/>
    </row>
    <row r="240" spans="1:12" x14ac:dyDescent="0.2">
      <c r="A240" s="158"/>
      <c r="B240" s="159"/>
      <c r="C240" s="160"/>
      <c r="D240" s="144"/>
      <c r="E240" s="145"/>
      <c r="F240" s="145"/>
      <c r="G240" s="145"/>
      <c r="H240" s="159"/>
      <c r="I240" s="159"/>
      <c r="J240" s="159"/>
      <c r="K240" s="159"/>
      <c r="L240" s="159"/>
    </row>
    <row r="241" spans="1:12" x14ac:dyDescent="0.2">
      <c r="A241" s="158"/>
      <c r="B241" s="159"/>
      <c r="C241" s="160"/>
      <c r="D241" s="144"/>
      <c r="E241" s="145"/>
      <c r="F241" s="145"/>
      <c r="G241" s="145"/>
      <c r="H241" s="159"/>
      <c r="I241" s="159"/>
      <c r="J241" s="159"/>
      <c r="K241" s="159"/>
      <c r="L241" s="159"/>
    </row>
    <row r="242" spans="1:12" x14ac:dyDescent="0.2">
      <c r="A242" s="158"/>
      <c r="B242" s="159"/>
      <c r="C242" s="160"/>
      <c r="D242" s="144"/>
      <c r="E242" s="145"/>
      <c r="F242" s="145"/>
      <c r="G242" s="145"/>
      <c r="H242" s="159"/>
      <c r="I242" s="159"/>
      <c r="J242" s="159"/>
      <c r="K242" s="159"/>
      <c r="L242" s="159"/>
    </row>
    <row r="243" spans="1:12" x14ac:dyDescent="0.2">
      <c r="A243" s="158"/>
      <c r="B243" s="159"/>
      <c r="C243" s="160"/>
      <c r="D243" s="144"/>
      <c r="E243" s="145"/>
      <c r="F243" s="145"/>
      <c r="G243" s="145"/>
      <c r="H243" s="159"/>
      <c r="I243" s="159"/>
      <c r="J243" s="159"/>
      <c r="K243" s="159"/>
      <c r="L243" s="159"/>
    </row>
    <row r="244" spans="1:12" x14ac:dyDescent="0.2">
      <c r="A244" s="158"/>
      <c r="B244" s="159"/>
      <c r="C244" s="160"/>
      <c r="D244" s="144"/>
      <c r="E244" s="145"/>
      <c r="F244" s="145"/>
      <c r="G244" s="145"/>
      <c r="H244" s="159"/>
      <c r="I244" s="159"/>
      <c r="J244" s="159"/>
      <c r="K244" s="159"/>
      <c r="L244" s="159"/>
    </row>
    <row r="245" spans="1:12" x14ac:dyDescent="0.2">
      <c r="A245" s="158"/>
      <c r="B245" s="159"/>
      <c r="C245" s="160"/>
      <c r="D245" s="144"/>
      <c r="E245" s="145"/>
      <c r="F245" s="145"/>
      <c r="G245" s="145"/>
      <c r="H245" s="159"/>
      <c r="I245" s="159"/>
      <c r="J245" s="159"/>
      <c r="K245" s="159"/>
      <c r="L245" s="159"/>
    </row>
    <row r="246" spans="1:12" x14ac:dyDescent="0.2">
      <c r="A246" s="158"/>
      <c r="B246" s="159"/>
      <c r="C246" s="160"/>
      <c r="D246" s="144"/>
      <c r="E246" s="145"/>
      <c r="F246" s="145"/>
      <c r="G246" s="145"/>
      <c r="H246" s="159"/>
      <c r="I246" s="159"/>
      <c r="J246" s="159"/>
      <c r="K246" s="159"/>
      <c r="L246" s="159"/>
    </row>
    <row r="247" spans="1:12" x14ac:dyDescent="0.2">
      <c r="A247" s="158"/>
      <c r="B247" s="159"/>
      <c r="C247" s="160"/>
      <c r="D247" s="144"/>
      <c r="E247" s="145"/>
      <c r="F247" s="145"/>
      <c r="G247" s="145"/>
      <c r="H247" s="159"/>
      <c r="I247" s="159"/>
      <c r="J247" s="159"/>
      <c r="K247" s="159"/>
      <c r="L247" s="159"/>
    </row>
    <row r="248" spans="1:12" x14ac:dyDescent="0.2">
      <c r="A248" s="158"/>
      <c r="B248" s="159"/>
      <c r="C248" s="160"/>
      <c r="D248" s="144"/>
      <c r="E248" s="145"/>
      <c r="F248" s="145"/>
      <c r="G248" s="145"/>
      <c r="H248" s="159"/>
      <c r="I248" s="159"/>
      <c r="J248" s="159"/>
      <c r="K248" s="159"/>
      <c r="L248" s="159"/>
    </row>
    <row r="249" spans="1:12" x14ac:dyDescent="0.2">
      <c r="A249" s="158"/>
      <c r="B249" s="159"/>
      <c r="C249" s="160"/>
      <c r="D249" s="144"/>
      <c r="E249" s="145"/>
      <c r="F249" s="145"/>
      <c r="G249" s="145"/>
      <c r="H249" s="159"/>
      <c r="I249" s="159"/>
      <c r="J249" s="159"/>
      <c r="K249" s="159"/>
      <c r="L249" s="159"/>
    </row>
    <row r="250" spans="1:12" x14ac:dyDescent="0.2">
      <c r="A250" s="158"/>
      <c r="B250" s="159"/>
      <c r="C250" s="160"/>
      <c r="D250" s="144"/>
      <c r="E250" s="145"/>
      <c r="F250" s="145"/>
      <c r="G250" s="145"/>
      <c r="H250" s="159"/>
      <c r="I250" s="159"/>
      <c r="J250" s="159"/>
      <c r="K250" s="159"/>
      <c r="L250" s="159"/>
    </row>
    <row r="251" spans="1:12" x14ac:dyDescent="0.2">
      <c r="A251" s="158"/>
      <c r="B251" s="159"/>
      <c r="C251" s="160"/>
      <c r="D251" s="144"/>
      <c r="E251" s="145"/>
      <c r="F251" s="145"/>
      <c r="G251" s="145"/>
      <c r="H251" s="159"/>
      <c r="I251" s="159"/>
      <c r="J251" s="159"/>
      <c r="K251" s="159"/>
      <c r="L251" s="159"/>
    </row>
    <row r="252" spans="1:12" x14ac:dyDescent="0.2">
      <c r="A252" s="158"/>
      <c r="B252" s="159"/>
      <c r="C252" s="160"/>
      <c r="D252" s="144"/>
      <c r="E252" s="145"/>
      <c r="F252" s="145"/>
      <c r="G252" s="145"/>
      <c r="H252" s="159"/>
      <c r="I252" s="159"/>
      <c r="J252" s="159"/>
      <c r="K252" s="159"/>
      <c r="L252" s="159"/>
    </row>
    <row r="253" spans="1:12" x14ac:dyDescent="0.2">
      <c r="A253" s="158"/>
      <c r="B253" s="159"/>
      <c r="C253" s="160"/>
      <c r="D253" s="144"/>
      <c r="E253" s="145"/>
      <c r="F253" s="145"/>
      <c r="G253" s="145"/>
      <c r="H253" s="159"/>
      <c r="I253" s="159"/>
      <c r="J253" s="159"/>
      <c r="K253" s="159"/>
      <c r="L253" s="159"/>
    </row>
    <row r="254" spans="1:12" x14ac:dyDescent="0.2">
      <c r="A254" s="158"/>
      <c r="B254" s="159"/>
      <c r="C254" s="160"/>
      <c r="D254" s="144"/>
      <c r="E254" s="145"/>
      <c r="F254" s="145"/>
      <c r="G254" s="145"/>
      <c r="H254" s="159"/>
      <c r="I254" s="159"/>
      <c r="J254" s="159"/>
      <c r="K254" s="159"/>
      <c r="L254" s="159"/>
    </row>
    <row r="255" spans="1:12" x14ac:dyDescent="0.2">
      <c r="A255" s="158"/>
      <c r="B255" s="159"/>
      <c r="C255" s="160"/>
      <c r="D255" s="144"/>
      <c r="E255" s="145"/>
      <c r="F255" s="145"/>
      <c r="G255" s="145"/>
      <c r="H255" s="159"/>
      <c r="I255" s="159"/>
      <c r="J255" s="159"/>
      <c r="K255" s="159"/>
      <c r="L255" s="159"/>
    </row>
    <row r="256" spans="1:12" x14ac:dyDescent="0.2">
      <c r="A256" s="158"/>
      <c r="B256" s="159"/>
      <c r="C256" s="160"/>
      <c r="D256" s="144"/>
      <c r="E256" s="145"/>
      <c r="F256" s="145"/>
      <c r="G256" s="145"/>
      <c r="H256" s="159"/>
      <c r="I256" s="159"/>
      <c r="J256" s="159"/>
      <c r="K256" s="159"/>
      <c r="L256" s="159"/>
    </row>
    <row r="257" spans="1:12" x14ac:dyDescent="0.2">
      <c r="A257" s="158"/>
      <c r="B257" s="159"/>
      <c r="C257" s="160"/>
      <c r="D257" s="144"/>
      <c r="E257" s="145"/>
      <c r="F257" s="145"/>
      <c r="G257" s="145"/>
      <c r="H257" s="159"/>
      <c r="I257" s="159"/>
      <c r="J257" s="159"/>
      <c r="K257" s="159"/>
      <c r="L257" s="159"/>
    </row>
    <row r="258" spans="1:12" x14ac:dyDescent="0.2">
      <c r="A258" s="158"/>
      <c r="B258" s="159"/>
      <c r="C258" s="160"/>
      <c r="D258" s="144"/>
      <c r="E258" s="145"/>
      <c r="F258" s="145"/>
      <c r="G258" s="145"/>
      <c r="H258" s="159"/>
      <c r="I258" s="159"/>
      <c r="J258" s="159"/>
      <c r="K258" s="159"/>
      <c r="L258" s="159"/>
    </row>
    <row r="259" spans="1:12" x14ac:dyDescent="0.2">
      <c r="A259" s="158"/>
      <c r="B259" s="159"/>
      <c r="C259" s="160"/>
      <c r="D259" s="144"/>
      <c r="E259" s="145"/>
      <c r="F259" s="145"/>
      <c r="G259" s="145"/>
      <c r="H259" s="159"/>
      <c r="I259" s="159"/>
      <c r="J259" s="159"/>
      <c r="K259" s="159"/>
      <c r="L259" s="159"/>
    </row>
    <row r="260" spans="1:12" x14ac:dyDescent="0.2">
      <c r="A260" s="158"/>
      <c r="B260" s="159"/>
      <c r="C260" s="160"/>
      <c r="D260" s="144"/>
      <c r="E260" s="145"/>
      <c r="F260" s="145"/>
      <c r="G260" s="145"/>
      <c r="H260" s="159"/>
      <c r="I260" s="159"/>
      <c r="J260" s="159"/>
      <c r="K260" s="159"/>
      <c r="L260" s="159"/>
    </row>
    <row r="261" spans="1:12" x14ac:dyDescent="0.2">
      <c r="A261" s="158"/>
      <c r="B261" s="159"/>
      <c r="C261" s="160"/>
      <c r="D261" s="144"/>
      <c r="E261" s="145"/>
      <c r="F261" s="145"/>
      <c r="G261" s="145"/>
      <c r="H261" s="159"/>
      <c r="I261" s="159"/>
      <c r="J261" s="159"/>
      <c r="K261" s="159"/>
      <c r="L261" s="159"/>
    </row>
    <row r="262" spans="1:12" x14ac:dyDescent="0.2">
      <c r="A262" s="158"/>
      <c r="B262" s="159"/>
      <c r="C262" s="160"/>
      <c r="D262" s="144"/>
      <c r="E262" s="145"/>
      <c r="F262" s="145"/>
      <c r="G262" s="145"/>
      <c r="H262" s="159"/>
      <c r="I262" s="159"/>
      <c r="J262" s="159"/>
      <c r="K262" s="159"/>
      <c r="L262" s="159"/>
    </row>
    <row r="263" spans="1:12" x14ac:dyDescent="0.2">
      <c r="A263" s="158"/>
      <c r="B263" s="159"/>
      <c r="C263" s="160"/>
      <c r="D263" s="144"/>
      <c r="E263" s="145"/>
      <c r="F263" s="145"/>
      <c r="G263" s="145"/>
      <c r="H263" s="159"/>
      <c r="I263" s="159"/>
      <c r="J263" s="159"/>
      <c r="K263" s="159"/>
      <c r="L263" s="159"/>
    </row>
    <row r="264" spans="1:12" x14ac:dyDescent="0.2">
      <c r="A264" s="158"/>
      <c r="B264" s="159"/>
      <c r="C264" s="160"/>
      <c r="D264" s="144"/>
      <c r="E264" s="145"/>
      <c r="F264" s="145"/>
      <c r="G264" s="145"/>
      <c r="H264" s="159"/>
      <c r="I264" s="159"/>
      <c r="J264" s="159"/>
      <c r="K264" s="159"/>
      <c r="L264" s="159"/>
    </row>
    <row r="265" spans="1:12" x14ac:dyDescent="0.2">
      <c r="A265" s="158"/>
      <c r="B265" s="159"/>
      <c r="C265" s="160"/>
      <c r="D265" s="144"/>
      <c r="E265" s="145"/>
      <c r="F265" s="145"/>
      <c r="G265" s="145"/>
      <c r="H265" s="159"/>
      <c r="I265" s="159"/>
      <c r="J265" s="159"/>
      <c r="K265" s="159"/>
      <c r="L265" s="159"/>
    </row>
    <row r="266" spans="1:12" x14ac:dyDescent="0.2">
      <c r="A266" s="158"/>
      <c r="B266" s="159"/>
      <c r="C266" s="160"/>
      <c r="D266" s="144"/>
      <c r="E266" s="145"/>
      <c r="F266" s="145"/>
      <c r="G266" s="145"/>
      <c r="H266" s="159"/>
      <c r="I266" s="159"/>
      <c r="J266" s="159"/>
      <c r="K266" s="159"/>
      <c r="L266" s="159"/>
    </row>
    <row r="267" spans="1:12" x14ac:dyDescent="0.2">
      <c r="A267" s="158"/>
      <c r="B267" s="159"/>
      <c r="C267" s="160"/>
      <c r="D267" s="144"/>
      <c r="E267" s="145"/>
      <c r="F267" s="145"/>
      <c r="G267" s="145"/>
      <c r="H267" s="159"/>
      <c r="I267" s="159"/>
      <c r="J267" s="159"/>
      <c r="K267" s="159"/>
      <c r="L267" s="159"/>
    </row>
    <row r="268" spans="1:12" x14ac:dyDescent="0.2">
      <c r="A268" s="158"/>
      <c r="B268" s="159"/>
      <c r="C268" s="160"/>
      <c r="D268" s="144"/>
      <c r="E268" s="145"/>
      <c r="F268" s="145"/>
      <c r="G268" s="145"/>
      <c r="H268" s="159"/>
      <c r="I268" s="159"/>
      <c r="J268" s="159"/>
      <c r="K268" s="159"/>
      <c r="L268" s="159"/>
    </row>
    <row r="269" spans="1:12" x14ac:dyDescent="0.2">
      <c r="A269" s="158"/>
      <c r="B269" s="159"/>
      <c r="C269" s="160"/>
      <c r="D269" s="144"/>
      <c r="E269" s="145"/>
      <c r="F269" s="145"/>
      <c r="G269" s="145"/>
      <c r="H269" s="159"/>
      <c r="I269" s="159"/>
      <c r="J269" s="159"/>
      <c r="K269" s="159"/>
      <c r="L269" s="159"/>
    </row>
    <row r="270" spans="1:12" x14ac:dyDescent="0.2">
      <c r="A270" s="158"/>
      <c r="B270" s="159"/>
      <c r="C270" s="160"/>
      <c r="D270" s="144"/>
      <c r="E270" s="145"/>
      <c r="F270" s="145"/>
      <c r="G270" s="145"/>
      <c r="H270" s="159"/>
      <c r="I270" s="159"/>
      <c r="J270" s="159"/>
      <c r="K270" s="159"/>
      <c r="L270" s="159"/>
    </row>
    <row r="271" spans="1:12" x14ac:dyDescent="0.2">
      <c r="A271" s="158"/>
      <c r="B271" s="159"/>
      <c r="C271" s="160"/>
      <c r="D271" s="144"/>
      <c r="E271" s="145"/>
      <c r="F271" s="145"/>
      <c r="G271" s="145"/>
      <c r="H271" s="159"/>
      <c r="I271" s="159"/>
      <c r="J271" s="159"/>
      <c r="K271" s="159"/>
      <c r="L271" s="159"/>
    </row>
    <row r="272" spans="1:12" x14ac:dyDescent="0.2">
      <c r="A272" s="158"/>
      <c r="B272" s="159"/>
      <c r="C272" s="160"/>
      <c r="D272" s="144"/>
      <c r="E272" s="145"/>
      <c r="F272" s="145"/>
      <c r="G272" s="145"/>
      <c r="H272" s="159"/>
      <c r="I272" s="159"/>
      <c r="J272" s="159"/>
      <c r="K272" s="159"/>
      <c r="L272" s="159"/>
    </row>
    <row r="273" spans="1:12" x14ac:dyDescent="0.2">
      <c r="A273" s="158"/>
      <c r="B273" s="159"/>
      <c r="C273" s="160"/>
      <c r="D273" s="144"/>
      <c r="E273" s="145"/>
      <c r="F273" s="145"/>
      <c r="G273" s="145"/>
      <c r="H273" s="159"/>
      <c r="I273" s="159"/>
      <c r="J273" s="159"/>
      <c r="K273" s="159"/>
      <c r="L273" s="159"/>
    </row>
    <row r="274" spans="1:12" x14ac:dyDescent="0.2">
      <c r="A274" s="158"/>
      <c r="B274" s="159"/>
      <c r="C274" s="160"/>
      <c r="D274" s="144"/>
      <c r="E274" s="145"/>
      <c r="F274" s="145"/>
      <c r="G274" s="145"/>
      <c r="H274" s="159"/>
      <c r="I274" s="159"/>
      <c r="J274" s="159"/>
      <c r="K274" s="159"/>
      <c r="L274" s="159"/>
    </row>
    <row r="275" spans="1:12" x14ac:dyDescent="0.2">
      <c r="A275" s="158"/>
      <c r="B275" s="159"/>
      <c r="C275" s="160"/>
      <c r="D275" s="144"/>
      <c r="E275" s="145"/>
      <c r="F275" s="145"/>
      <c r="G275" s="145"/>
      <c r="H275" s="159"/>
      <c r="I275" s="159"/>
      <c r="J275" s="159"/>
      <c r="K275" s="159"/>
      <c r="L275" s="159"/>
    </row>
    <row r="276" spans="1:12" x14ac:dyDescent="0.2">
      <c r="A276" s="158"/>
      <c r="B276" s="159"/>
      <c r="C276" s="160"/>
      <c r="D276" s="144"/>
      <c r="E276" s="145"/>
      <c r="F276" s="145"/>
      <c r="G276" s="145"/>
      <c r="H276" s="159"/>
      <c r="I276" s="159"/>
      <c r="J276" s="159"/>
      <c r="K276" s="159"/>
      <c r="L276" s="159"/>
    </row>
    <row r="277" spans="1:12" x14ac:dyDescent="0.2">
      <c r="A277" s="158"/>
      <c r="B277" s="159"/>
      <c r="C277" s="160"/>
      <c r="D277" s="144"/>
      <c r="E277" s="145"/>
      <c r="F277" s="145"/>
      <c r="G277" s="145"/>
      <c r="H277" s="159"/>
      <c r="I277" s="159"/>
      <c r="J277" s="159"/>
      <c r="K277" s="159"/>
      <c r="L277" s="159"/>
    </row>
    <row r="278" spans="1:12" x14ac:dyDescent="0.2">
      <c r="A278" s="158"/>
      <c r="B278" s="159"/>
      <c r="C278" s="160"/>
      <c r="D278" s="144"/>
      <c r="E278" s="145"/>
      <c r="F278" s="145"/>
      <c r="G278" s="145"/>
      <c r="H278" s="159"/>
      <c r="I278" s="159"/>
      <c r="J278" s="159"/>
      <c r="K278" s="159"/>
      <c r="L278" s="159"/>
    </row>
    <row r="279" spans="1:12" x14ac:dyDescent="0.2">
      <c r="A279" s="158"/>
      <c r="B279" s="159"/>
      <c r="C279" s="160"/>
      <c r="D279" s="144"/>
      <c r="E279" s="145"/>
      <c r="F279" s="145"/>
      <c r="G279" s="145"/>
      <c r="H279" s="159"/>
      <c r="I279" s="159"/>
      <c r="J279" s="159"/>
      <c r="K279" s="159"/>
      <c r="L279" s="159"/>
    </row>
    <row r="280" spans="1:12" x14ac:dyDescent="0.2">
      <c r="A280" s="158"/>
      <c r="B280" s="159"/>
      <c r="C280" s="160"/>
      <c r="D280" s="144"/>
      <c r="E280" s="145"/>
      <c r="F280" s="145"/>
      <c r="G280" s="145"/>
      <c r="H280" s="159"/>
      <c r="I280" s="159"/>
      <c r="J280" s="159"/>
      <c r="K280" s="159"/>
      <c r="L280" s="159"/>
    </row>
    <row r="281" spans="1:12" x14ac:dyDescent="0.2">
      <c r="A281" s="158"/>
      <c r="B281" s="159"/>
      <c r="C281" s="160"/>
      <c r="D281" s="144"/>
      <c r="E281" s="145"/>
      <c r="F281" s="145"/>
      <c r="G281" s="145"/>
      <c r="H281" s="159"/>
      <c r="I281" s="159"/>
      <c r="J281" s="159"/>
      <c r="K281" s="159"/>
      <c r="L281" s="159"/>
    </row>
    <row r="282" spans="1:12" x14ac:dyDescent="0.2">
      <c r="A282" s="158"/>
      <c r="B282" s="159"/>
      <c r="C282" s="160"/>
      <c r="D282" s="144"/>
      <c r="E282" s="145"/>
      <c r="F282" s="145"/>
      <c r="G282" s="145"/>
      <c r="H282" s="159"/>
      <c r="I282" s="159"/>
      <c r="J282" s="159"/>
      <c r="K282" s="159"/>
      <c r="L282" s="159"/>
    </row>
    <row r="283" spans="1:12" x14ac:dyDescent="0.2">
      <c r="A283" s="158"/>
      <c r="B283" s="159"/>
      <c r="C283" s="160"/>
      <c r="D283" s="144"/>
      <c r="E283" s="145"/>
      <c r="F283" s="145"/>
      <c r="G283" s="145"/>
      <c r="H283" s="159"/>
      <c r="I283" s="159"/>
      <c r="J283" s="159"/>
      <c r="K283" s="159"/>
      <c r="L283" s="159"/>
    </row>
    <row r="284" spans="1:12" x14ac:dyDescent="0.2">
      <c r="A284" s="158"/>
      <c r="B284" s="159"/>
      <c r="C284" s="160"/>
      <c r="D284" s="144"/>
      <c r="E284" s="145"/>
      <c r="F284" s="145"/>
      <c r="G284" s="145"/>
      <c r="H284" s="159"/>
      <c r="I284" s="159"/>
      <c r="J284" s="159"/>
      <c r="K284" s="159"/>
      <c r="L284" s="159"/>
    </row>
    <row r="285" spans="1:12" x14ac:dyDescent="0.2">
      <c r="A285" s="158"/>
      <c r="B285" s="159"/>
      <c r="C285" s="160"/>
      <c r="D285" s="144"/>
      <c r="E285" s="145"/>
      <c r="F285" s="145"/>
      <c r="G285" s="145"/>
      <c r="H285" s="159"/>
      <c r="I285" s="159"/>
      <c r="J285" s="159"/>
      <c r="K285" s="159"/>
      <c r="L285" s="159"/>
    </row>
    <row r="286" spans="1:12" x14ac:dyDescent="0.2">
      <c r="A286" s="158"/>
      <c r="B286" s="159"/>
      <c r="C286" s="160"/>
      <c r="D286" s="144"/>
      <c r="E286" s="145"/>
      <c r="F286" s="145"/>
      <c r="G286" s="145"/>
      <c r="H286" s="159"/>
      <c r="I286" s="159"/>
      <c r="J286" s="159"/>
      <c r="K286" s="159"/>
      <c r="L286" s="159"/>
    </row>
    <row r="287" spans="1:12" x14ac:dyDescent="0.2">
      <c r="A287" s="158"/>
      <c r="B287" s="159"/>
      <c r="C287" s="160"/>
      <c r="D287" s="144"/>
      <c r="E287" s="145"/>
      <c r="F287" s="145"/>
      <c r="G287" s="145"/>
      <c r="H287" s="159"/>
      <c r="I287" s="159"/>
      <c r="J287" s="159"/>
      <c r="K287" s="159"/>
      <c r="L287" s="159"/>
    </row>
    <row r="288" spans="1:12" x14ac:dyDescent="0.2">
      <c r="A288" s="158"/>
      <c r="B288" s="159"/>
      <c r="C288" s="160"/>
      <c r="D288" s="144"/>
      <c r="E288" s="145"/>
      <c r="F288" s="145"/>
      <c r="G288" s="145"/>
      <c r="H288" s="159"/>
      <c r="I288" s="159"/>
      <c r="J288" s="159"/>
      <c r="K288" s="159"/>
      <c r="L288" s="159"/>
    </row>
    <row r="289" spans="1:12" x14ac:dyDescent="0.2">
      <c r="A289" s="158"/>
      <c r="B289" s="159"/>
      <c r="C289" s="160"/>
      <c r="D289" s="144"/>
      <c r="E289" s="145"/>
      <c r="F289" s="145"/>
      <c r="G289" s="145"/>
      <c r="H289" s="159"/>
      <c r="I289" s="159"/>
      <c r="J289" s="159"/>
      <c r="K289" s="159"/>
      <c r="L289" s="159"/>
    </row>
    <row r="290" spans="1:12" x14ac:dyDescent="0.2">
      <c r="A290" s="158"/>
      <c r="B290" s="159"/>
      <c r="C290" s="160"/>
      <c r="D290" s="144"/>
      <c r="E290" s="145"/>
      <c r="F290" s="145"/>
      <c r="G290" s="145"/>
      <c r="H290" s="159"/>
      <c r="I290" s="159"/>
      <c r="J290" s="159"/>
      <c r="K290" s="159"/>
      <c r="L290" s="159"/>
    </row>
    <row r="291" spans="1:12" x14ac:dyDescent="0.2">
      <c r="A291" s="158"/>
      <c r="B291" s="159"/>
      <c r="C291" s="160"/>
      <c r="D291" s="144"/>
      <c r="E291" s="145"/>
      <c r="F291" s="145"/>
      <c r="G291" s="145"/>
      <c r="H291" s="159"/>
      <c r="I291" s="159"/>
      <c r="J291" s="159"/>
      <c r="K291" s="159"/>
      <c r="L291" s="159"/>
    </row>
    <row r="292" spans="1:12" x14ac:dyDescent="0.2">
      <c r="A292" s="158"/>
      <c r="B292" s="159"/>
      <c r="C292" s="160"/>
      <c r="D292" s="144"/>
      <c r="E292" s="145"/>
      <c r="F292" s="145"/>
      <c r="G292" s="145"/>
      <c r="H292" s="159"/>
      <c r="I292" s="159"/>
      <c r="J292" s="159"/>
      <c r="K292" s="159"/>
      <c r="L292" s="159"/>
    </row>
    <row r="293" spans="1:12" x14ac:dyDescent="0.2">
      <c r="A293" s="158"/>
      <c r="B293" s="159"/>
      <c r="C293" s="160"/>
      <c r="D293" s="144"/>
      <c r="E293" s="145"/>
      <c r="F293" s="145"/>
      <c r="G293" s="145"/>
      <c r="H293" s="159"/>
      <c r="I293" s="159"/>
      <c r="J293" s="159"/>
      <c r="K293" s="159"/>
      <c r="L293" s="159"/>
    </row>
    <row r="294" spans="1:12" x14ac:dyDescent="0.2">
      <c r="A294" s="158"/>
      <c r="B294" s="159"/>
      <c r="C294" s="160"/>
      <c r="D294" s="144"/>
      <c r="E294" s="145"/>
      <c r="F294" s="145"/>
      <c r="G294" s="145"/>
      <c r="H294" s="159"/>
      <c r="I294" s="159"/>
      <c r="J294" s="159"/>
      <c r="K294" s="159"/>
      <c r="L294" s="159"/>
    </row>
    <row r="295" spans="1:12" x14ac:dyDescent="0.2">
      <c r="A295" s="158"/>
      <c r="B295" s="159"/>
      <c r="C295" s="160"/>
      <c r="D295" s="144"/>
      <c r="E295" s="145"/>
      <c r="F295" s="145"/>
      <c r="G295" s="145"/>
      <c r="H295" s="159"/>
      <c r="I295" s="159"/>
      <c r="J295" s="159"/>
      <c r="K295" s="159"/>
      <c r="L295" s="159"/>
    </row>
    <row r="296" spans="1:12" x14ac:dyDescent="0.2">
      <c r="A296" s="158"/>
      <c r="B296" s="159"/>
      <c r="C296" s="160"/>
      <c r="D296" s="144"/>
      <c r="E296" s="145"/>
      <c r="F296" s="145"/>
      <c r="G296" s="145"/>
      <c r="H296" s="159"/>
      <c r="I296" s="159"/>
      <c r="J296" s="159"/>
      <c r="K296" s="159"/>
      <c r="L296" s="159"/>
    </row>
    <row r="297" spans="1:12" x14ac:dyDescent="0.2">
      <c r="A297" s="158"/>
      <c r="B297" s="159"/>
      <c r="C297" s="160"/>
      <c r="D297" s="144"/>
      <c r="E297" s="145"/>
      <c r="F297" s="145"/>
      <c r="G297" s="145"/>
      <c r="H297" s="159"/>
      <c r="I297" s="159"/>
      <c r="J297" s="159"/>
      <c r="K297" s="159"/>
      <c r="L297" s="159"/>
    </row>
    <row r="298" spans="1:12" x14ac:dyDescent="0.2">
      <c r="A298" s="158"/>
      <c r="B298" s="159"/>
      <c r="C298" s="160"/>
      <c r="D298" s="144"/>
      <c r="E298" s="145"/>
      <c r="F298" s="145"/>
      <c r="G298" s="145"/>
      <c r="H298" s="159"/>
      <c r="I298" s="159"/>
      <c r="J298" s="159"/>
      <c r="K298" s="159"/>
      <c r="L298" s="159"/>
    </row>
  </sheetData>
  <sheetProtection selectLockedCells="1"/>
  <dataValidations count="6">
    <dataValidation type="custom" allowBlank="1" showInputMessage="1" showErrorMessage="1" error="Solo se permiten datos numericos" sqref="B2:B3 F2:L3" xr:uid="{00000000-0002-0000-0D00-000000000000}">
      <formula1>ISNUMBER(B2)</formula1>
    </dataValidation>
    <dataValidation type="custom" allowBlank="1" showInputMessage="1" showErrorMessage="1" error="Solo se permiten datos de tipo texto" sqref="A3 C2:C3" xr:uid="{00000000-0002-0000-0D00-000001000000}">
      <formula1>ISTEXT(A2)</formula1>
    </dataValidation>
    <dataValidation type="list" allowBlank="1" showInputMessage="1" showErrorMessage="1" error="Solo se permiten datos de tipo texto" sqref="A2" xr:uid="{00000000-0002-0000-0D00-000004000000}">
      <formula1>INDIRECT("distribuidoras")</formula1>
    </dataValidation>
    <dataValidation type="list" allowBlank="1" showInputMessage="1" showErrorMessage="1" sqref="E2" xr:uid="{00000000-0002-0000-0D00-000005000000}">
      <formula1>INDIRECT("grupo_gasto")</formula1>
    </dataValidation>
    <dataValidation type="list" allowBlank="1" showInputMessage="1" showErrorMessage="1" sqref="D2" xr:uid="{5515C657-3A1B-4CE2-BA79-054D65F9919B}">
      <formula1>INDIRECT("tipo_gasto")</formula1>
    </dataValidation>
    <dataValidation type="list" allowBlank="1" showInputMessage="1" showErrorMessage="1" sqref="D3:E298" xr:uid="{00000000-0002-0000-0D00-000002000000}">
      <formula1>#REF!</formula1>
    </dataValidation>
  </dataValidations>
  <pageMargins left="0.7" right="0.7" top="0.75" bottom="0.75" header="0.3" footer="0.3"/>
  <pageSetup paperSize="9" scale="27" orientation="portrait" horizontalDpi="90" verticalDpi="9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6"/>
  <dimension ref="A1:AR2"/>
  <sheetViews>
    <sheetView showGridLines="0" view="pageBreakPreview" topLeftCell="I1" zoomScaleNormal="70" zoomScaleSheetLayoutView="100" workbookViewId="0">
      <selection activeCell="O7" sqref="O7"/>
    </sheetView>
  </sheetViews>
  <sheetFormatPr baseColWidth="10" defaultColWidth="14.42578125" defaultRowHeight="12.75" x14ac:dyDescent="0.25"/>
  <cols>
    <col min="1" max="1" width="17.140625" style="192" customWidth="1"/>
    <col min="2" max="2" width="20.42578125" style="192" customWidth="1"/>
    <col min="3" max="3" width="30.85546875" style="192" customWidth="1"/>
    <col min="4" max="4" width="20.140625" style="192" customWidth="1"/>
    <col min="5" max="6" width="18.85546875" style="192" customWidth="1"/>
    <col min="7" max="7" width="24.140625" style="192" customWidth="1"/>
    <col min="8" max="8" width="48.85546875" style="195" customWidth="1"/>
    <col min="9" max="9" width="21.28515625" style="192" customWidth="1"/>
    <col min="10" max="12" width="18.42578125" style="192" customWidth="1"/>
    <col min="13" max="13" width="19.42578125" style="192" customWidth="1"/>
    <col min="14" max="14" width="28" style="192" customWidth="1"/>
    <col min="15" max="15" width="25.7109375" style="192" customWidth="1"/>
    <col min="16" max="16" width="25.140625" style="196" customWidth="1"/>
    <col min="17" max="17" width="24.28515625" style="192" customWidth="1"/>
    <col min="18" max="18" width="26.140625" style="192" customWidth="1"/>
    <col min="19" max="19" width="21.5703125" style="192" customWidth="1"/>
    <col min="20" max="20" width="19.5703125" style="192" customWidth="1"/>
    <col min="21" max="21" width="34.7109375" style="192" customWidth="1"/>
    <col min="22" max="22" width="22" style="192" customWidth="1"/>
    <col min="23" max="23" width="21" style="192" customWidth="1"/>
    <col min="24" max="24" width="20.140625" style="192" customWidth="1"/>
    <col min="25" max="25" width="17.85546875" style="192" customWidth="1"/>
    <col min="26" max="26" width="26.140625" style="192" customWidth="1"/>
    <col min="27" max="27" width="19.140625" style="192" customWidth="1"/>
    <col min="28" max="29" width="17.85546875" style="192" customWidth="1"/>
    <col min="30" max="30" width="20.5703125" style="192" customWidth="1"/>
    <col min="31" max="31" width="26.140625" style="192" customWidth="1"/>
    <col min="32" max="38" width="21.42578125" style="192" customWidth="1"/>
    <col min="39" max="39" width="22.85546875" style="192" customWidth="1"/>
    <col min="40" max="40" width="24.28515625" style="192" customWidth="1"/>
    <col min="41" max="41" width="21.42578125" style="192" customWidth="1"/>
    <col min="42" max="43" width="21.85546875" style="192" customWidth="1"/>
    <col min="44" max="44" width="52.7109375" style="192" customWidth="1"/>
    <col min="45" max="16384" width="14.42578125" style="192"/>
  </cols>
  <sheetData>
    <row r="1" spans="1:44" ht="23.25" customHeight="1" x14ac:dyDescent="0.25">
      <c r="A1" s="190" t="s">
        <v>88</v>
      </c>
      <c r="B1" s="190" t="s">
        <v>34</v>
      </c>
      <c r="C1" s="190" t="s">
        <v>89</v>
      </c>
      <c r="D1" s="190" t="s">
        <v>92</v>
      </c>
      <c r="E1" s="190" t="s">
        <v>35</v>
      </c>
      <c r="F1" s="190" t="s">
        <v>295</v>
      </c>
      <c r="G1" s="190" t="s">
        <v>90</v>
      </c>
      <c r="H1" s="190" t="s">
        <v>36</v>
      </c>
      <c r="I1" s="190" t="s">
        <v>37</v>
      </c>
      <c r="J1" s="191" t="s">
        <v>38</v>
      </c>
      <c r="K1" s="191" t="s">
        <v>39</v>
      </c>
      <c r="L1" s="191" t="s">
        <v>40</v>
      </c>
      <c r="M1" s="190" t="s">
        <v>41</v>
      </c>
      <c r="N1" s="190" t="s">
        <v>91</v>
      </c>
      <c r="O1" s="190" t="s">
        <v>42</v>
      </c>
      <c r="P1" s="167" t="s">
        <v>43</v>
      </c>
      <c r="Q1" s="190" t="s">
        <v>44</v>
      </c>
      <c r="R1" s="190" t="s">
        <v>45</v>
      </c>
      <c r="S1" s="190" t="s">
        <v>46</v>
      </c>
      <c r="T1" s="190" t="s">
        <v>47</v>
      </c>
      <c r="U1" s="190" t="s">
        <v>85</v>
      </c>
      <c r="V1" s="190" t="s">
        <v>48</v>
      </c>
      <c r="W1" s="190" t="s">
        <v>299</v>
      </c>
      <c r="X1" s="190" t="s">
        <v>29</v>
      </c>
      <c r="Y1" s="190" t="s">
        <v>30</v>
      </c>
      <c r="Z1" s="190" t="s">
        <v>87</v>
      </c>
      <c r="AA1" s="190" t="s">
        <v>31</v>
      </c>
      <c r="AB1" s="190" t="s">
        <v>32</v>
      </c>
      <c r="AC1" s="190" t="s">
        <v>33</v>
      </c>
      <c r="AD1" s="190" t="s">
        <v>298</v>
      </c>
      <c r="AE1" s="190" t="s">
        <v>84</v>
      </c>
      <c r="AF1" s="190" t="s">
        <v>276</v>
      </c>
      <c r="AG1" s="190" t="s">
        <v>277</v>
      </c>
      <c r="AH1" s="190" t="s">
        <v>278</v>
      </c>
      <c r="AI1" s="190" t="s">
        <v>279</v>
      </c>
      <c r="AJ1" s="190" t="s">
        <v>280</v>
      </c>
      <c r="AK1" s="190" t="s">
        <v>281</v>
      </c>
      <c r="AL1" s="190" t="s">
        <v>282</v>
      </c>
      <c r="AM1" s="190" t="s">
        <v>284</v>
      </c>
      <c r="AN1" s="190" t="s">
        <v>283</v>
      </c>
      <c r="AO1" s="190" t="s">
        <v>285</v>
      </c>
      <c r="AP1" s="190" t="s">
        <v>80</v>
      </c>
      <c r="AQ1" s="190" t="s">
        <v>302</v>
      </c>
      <c r="AR1" s="190" t="s">
        <v>81</v>
      </c>
    </row>
    <row r="2" spans="1:44" x14ac:dyDescent="0.25">
      <c r="A2" s="241"/>
      <c r="B2" s="148"/>
      <c r="C2" s="148"/>
      <c r="D2" s="169"/>
      <c r="E2" s="149"/>
      <c r="F2" s="149"/>
      <c r="G2" s="170"/>
      <c r="H2" s="171"/>
      <c r="I2" s="149"/>
      <c r="J2" s="149"/>
      <c r="K2" s="149"/>
      <c r="L2" s="149"/>
      <c r="M2" s="193"/>
      <c r="N2" s="194"/>
      <c r="O2" s="187"/>
      <c r="P2" s="196" t="str">
        <f>+IF($N2="No iniciado 0%",0%,IF($O2="Elaboración de pliegos 5%",5%,IF($N2="Disponibilidad de pliegos 10%",10%,IF($N2="Publicación del proceso 15%",15%,IF($N2="Resolución de adjudicación 30%",30%,IF($N2="Adjudicación y firma de contrato 40%",40%,IF($N2="En ejecución 41% - 90%",(40%+($O2*50%)),IF($N2="Acta de entrega - recepción 95%",IF($O2=100%,95%,""),IF($N2="Registro contable 100%",IF($O2=100%,100%,""),"")))))))))</f>
        <v/>
      </c>
      <c r="Q2" s="188"/>
      <c r="R2" s="188"/>
      <c r="S2" s="188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4"/>
      <c r="AG2" s="245"/>
      <c r="AH2" s="246"/>
      <c r="AI2" s="244"/>
      <c r="AJ2" s="245"/>
      <c r="AK2" s="240"/>
      <c r="AL2" s="240"/>
      <c r="AM2" s="240"/>
      <c r="AN2" s="240"/>
      <c r="AO2" s="240"/>
      <c r="AP2" s="240"/>
      <c r="AQ2" s="240"/>
      <c r="AR2" s="189"/>
    </row>
  </sheetData>
  <sheetProtection selectLockedCells="1"/>
  <dataValidations count="6">
    <dataValidation type="custom" allowBlank="1" showInputMessage="1" showErrorMessage="1" error="Solo se permiten datos numericos" sqref="O2:P2" xr:uid="{00000000-0002-0000-0E00-000000000000}">
      <formula1>ISNUMBER(O2)</formula1>
    </dataValidation>
    <dataValidation type="list" allowBlank="1" showInputMessage="1" showErrorMessage="1" sqref="B2:C2" xr:uid="{00000000-0002-0000-0E00-000001000000}">
      <formula1>"Sí,No"</formula1>
    </dataValidation>
    <dataValidation type="list" allowBlank="1" showInputMessage="1" showErrorMessage="1" sqref="F2" xr:uid="{00000000-0002-0000-0E00-000002000000}">
      <formula1>INDIRECT("rubros_sapg")</formula1>
    </dataValidation>
    <dataValidation type="list" allowBlank="1" showInputMessage="1" showErrorMessage="1" error="Solo se permiten datos de tipo texto" sqref="A2" xr:uid="{00000000-0002-0000-0E00-000005000000}">
      <formula1>INDIRECT("distribuidoras")</formula1>
    </dataValidation>
    <dataValidation type="list" allowBlank="1" showInputMessage="1" showErrorMessage="1" sqref="N2" xr:uid="{00000000-0002-0000-0E00-000003000000}">
      <formula1>INDIRECT("etapa_ejecucion_proyecto")</formula1>
    </dataValidation>
    <dataValidation type="list" allowBlank="1" showInputMessage="1" showErrorMessage="1" sqref="M2" xr:uid="{00000000-0002-0000-0E00-000004000000}">
      <formula1>INDIRECT("estado_proyecto")</formula1>
    </dataValidation>
  </dataValidations>
  <pageMargins left="0.7" right="0.7" top="0.75" bottom="0.75" header="0.3" footer="0.3"/>
  <pageSetup paperSize="9" scale="13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7"/>
  <dimension ref="A1:AO2"/>
  <sheetViews>
    <sheetView showGridLines="0" view="pageBreakPreview" topLeftCell="H1" zoomScale="115" zoomScaleNormal="100" zoomScaleSheetLayoutView="115" workbookViewId="0">
      <selection activeCell="L15" sqref="L15"/>
    </sheetView>
  </sheetViews>
  <sheetFormatPr baseColWidth="10" defaultColWidth="14.42578125" defaultRowHeight="15" customHeight="1" x14ac:dyDescent="0.25"/>
  <cols>
    <col min="1" max="1" width="15.7109375" style="192" customWidth="1"/>
    <col min="2" max="2" width="21.140625" style="192" customWidth="1"/>
    <col min="3" max="3" width="20.5703125" style="192" customWidth="1"/>
    <col min="4" max="4" width="25.140625" style="192" customWidth="1"/>
    <col min="5" max="5" width="38.5703125" style="192" customWidth="1"/>
    <col min="6" max="6" width="24.5703125" style="192" customWidth="1"/>
    <col min="7" max="7" width="12.5703125" style="192" customWidth="1"/>
    <col min="8" max="8" width="12" style="192" customWidth="1"/>
    <col min="9" max="9" width="12.85546875" style="192" customWidth="1"/>
    <col min="10" max="10" width="20.140625" style="192" customWidth="1"/>
    <col min="11" max="11" width="30.140625" style="192" customWidth="1"/>
    <col min="12" max="12" width="28.42578125" style="192" customWidth="1"/>
    <col min="13" max="14" width="27.5703125" style="192" customWidth="1"/>
    <col min="15" max="15" width="27.28515625" style="192" customWidth="1"/>
    <col min="16" max="16" width="22.85546875" style="192" customWidth="1"/>
    <col min="17" max="24" width="19.7109375" style="192" customWidth="1"/>
    <col min="25" max="25" width="17.85546875" style="192" customWidth="1"/>
    <col min="26" max="26" width="22.140625" style="192" customWidth="1"/>
    <col min="27" max="27" width="27.28515625" style="192" customWidth="1"/>
    <col min="28" max="31" width="22.140625" style="192" customWidth="1"/>
    <col min="32" max="33" width="23.28515625" style="192" customWidth="1"/>
    <col min="34" max="34" width="22.140625" style="192" customWidth="1"/>
    <col min="35" max="35" width="24.85546875" style="192" customWidth="1"/>
    <col min="36" max="36" width="26.140625" style="192" customWidth="1"/>
    <col min="37" max="37" width="22.140625" style="192" customWidth="1"/>
    <col min="38" max="39" width="23.42578125" style="192" customWidth="1"/>
    <col min="40" max="40" width="39.7109375" style="192" customWidth="1"/>
    <col min="41" max="41" width="4.140625" style="192" customWidth="1"/>
    <col min="42" max="16384" width="14.42578125" style="192"/>
  </cols>
  <sheetData>
    <row r="1" spans="1:41" ht="25.5" x14ac:dyDescent="0.25">
      <c r="A1" s="190" t="s">
        <v>88</v>
      </c>
      <c r="B1" s="190" t="s">
        <v>34</v>
      </c>
      <c r="C1" s="190" t="s">
        <v>92</v>
      </c>
      <c r="D1" s="190" t="s">
        <v>90</v>
      </c>
      <c r="E1" s="190" t="s">
        <v>36</v>
      </c>
      <c r="F1" s="190" t="s">
        <v>37</v>
      </c>
      <c r="G1" s="191" t="s">
        <v>38</v>
      </c>
      <c r="H1" s="191" t="s">
        <v>39</v>
      </c>
      <c r="I1" s="191" t="s">
        <v>40</v>
      </c>
      <c r="J1" s="190" t="s">
        <v>41</v>
      </c>
      <c r="K1" s="190" t="s">
        <v>91</v>
      </c>
      <c r="L1" s="190" t="s">
        <v>42</v>
      </c>
      <c r="M1" s="167" t="s">
        <v>43</v>
      </c>
      <c r="N1" s="190" t="s">
        <v>44</v>
      </c>
      <c r="O1" s="190" t="s">
        <v>45</v>
      </c>
      <c r="P1" s="190" t="s">
        <v>46</v>
      </c>
      <c r="Q1" s="190" t="s">
        <v>85</v>
      </c>
      <c r="R1" s="190" t="s">
        <v>48</v>
      </c>
      <c r="S1" s="190" t="s">
        <v>299</v>
      </c>
      <c r="T1" s="190" t="s">
        <v>29</v>
      </c>
      <c r="U1" s="190" t="s">
        <v>30</v>
      </c>
      <c r="V1" s="190" t="s">
        <v>87</v>
      </c>
      <c r="W1" s="190" t="s">
        <v>31</v>
      </c>
      <c r="X1" s="190" t="s">
        <v>32</v>
      </c>
      <c r="Y1" s="190" t="s">
        <v>33</v>
      </c>
      <c r="Z1" s="190" t="s">
        <v>298</v>
      </c>
      <c r="AA1" s="190" t="s">
        <v>84</v>
      </c>
      <c r="AB1" s="190" t="s">
        <v>276</v>
      </c>
      <c r="AC1" s="190" t="s">
        <v>277</v>
      </c>
      <c r="AD1" s="190" t="s">
        <v>278</v>
      </c>
      <c r="AE1" s="190" t="s">
        <v>279</v>
      </c>
      <c r="AF1" s="190" t="s">
        <v>280</v>
      </c>
      <c r="AG1" s="190" t="s">
        <v>281</v>
      </c>
      <c r="AH1" s="190" t="s">
        <v>282</v>
      </c>
      <c r="AI1" s="190" t="s">
        <v>284</v>
      </c>
      <c r="AJ1" s="190" t="s">
        <v>283</v>
      </c>
      <c r="AK1" s="190" t="s">
        <v>285</v>
      </c>
      <c r="AL1" s="190" t="s">
        <v>80</v>
      </c>
      <c r="AM1" s="190" t="s">
        <v>302</v>
      </c>
      <c r="AN1" s="190" t="s">
        <v>81</v>
      </c>
      <c r="AO1" s="197"/>
    </row>
    <row r="2" spans="1:41" ht="12.75" x14ac:dyDescent="0.25">
      <c r="A2" s="156"/>
      <c r="B2" s="148"/>
      <c r="C2" s="169"/>
      <c r="D2" s="170"/>
      <c r="E2" s="171"/>
      <c r="F2" s="149"/>
      <c r="G2" s="149"/>
      <c r="H2" s="149"/>
      <c r="I2" s="149"/>
      <c r="J2" s="169"/>
      <c r="K2" s="149"/>
      <c r="L2" s="198"/>
      <c r="M2" s="152" t="str">
        <f>+IF($K2="No iniciado 0%",0%,IF($K2="Elaboración de pliegos 5%",5%,IF($K2="Disponibilidad de pliegos 10%",10%,IF($K2="Publicación del proceso 15%",15%,IF($K2="Resolución de adjudicación 30%",30%,IF($K2="Adjudicación y firma de contrato 40%",40%,IF($K2="En ejecución 41% - 90%",(40%+($L2*50%)),IF($K2="Acta de entrega - recepción 95%",IF($L2=100%,95%,""),IF($K2="Registro contable 100%",IF($L2=100%,100%,""),"")))))))))</f>
        <v/>
      </c>
      <c r="N2" s="188"/>
      <c r="O2" s="188"/>
      <c r="P2" s="149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6"/>
      <c r="AO2" s="199"/>
    </row>
  </sheetData>
  <sheetProtection selectLockedCells="1"/>
  <phoneticPr fontId="24" type="noConversion"/>
  <dataValidations count="5">
    <dataValidation type="custom" allowBlank="1" showInputMessage="1" showErrorMessage="1" error="Solo se permiten datos numericos" sqref="Q2:AA2 L2:M2" xr:uid="{00000000-0002-0000-0F00-000000000000}">
      <formula1>ISNUMBER(L2)</formula1>
    </dataValidation>
    <dataValidation type="list" allowBlank="1" showInputMessage="1" showErrorMessage="1" sqref="B2" xr:uid="{00000000-0002-0000-0F00-000001000000}">
      <formula1>"Sí,No"</formula1>
    </dataValidation>
    <dataValidation type="list" allowBlank="1" showInputMessage="1" showErrorMessage="1" sqref="K2" xr:uid="{00000000-0002-0000-0F00-000002000000}">
      <formula1>INDIRECT("etapa_ejecucion_proyecto")</formula1>
    </dataValidation>
    <dataValidation type="list" allowBlank="1" showInputMessage="1" showErrorMessage="1" sqref="J2" xr:uid="{00000000-0002-0000-0F00-000003000000}">
      <formula1>INDIRECT("estado_proyecto")</formula1>
    </dataValidation>
    <dataValidation type="list" allowBlank="1" showInputMessage="1" showErrorMessage="1" error="Solo se permiten datos de tipo texto" sqref="A2" xr:uid="{00000000-0002-0000-0F00-000004000000}">
      <formula1>INDIRECT("distribuidoras")</formula1>
    </dataValidation>
  </dataValidations>
  <pageMargins left="0.7" right="0.7" top="0.75" bottom="0.75" header="0.3" footer="0.3"/>
  <pageSetup paperSize="9" scale="12" orientation="portrait" horizontalDpi="90" verticalDpi="9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08D6-CFA7-40C5-88D4-61FD5B0A58EA}">
  <dimension ref="A1:AD2"/>
  <sheetViews>
    <sheetView showGridLines="0" view="pageBreakPreview" topLeftCell="F1" zoomScaleNormal="100" zoomScaleSheetLayoutView="100" workbookViewId="0">
      <selection activeCell="N2" sqref="N2"/>
    </sheetView>
  </sheetViews>
  <sheetFormatPr baseColWidth="10" defaultColWidth="14.42578125" defaultRowHeight="15" customHeight="1" x14ac:dyDescent="0.25"/>
  <cols>
    <col min="1" max="1" width="22" style="192" bestFit="1" customWidth="1"/>
    <col min="2" max="2" width="22.140625" style="192" bestFit="1" customWidth="1"/>
    <col min="3" max="3" width="21.140625" style="192" customWidth="1"/>
    <col min="4" max="4" width="20.28515625" style="192" customWidth="1"/>
    <col min="5" max="5" width="25.140625" style="192" customWidth="1"/>
    <col min="6" max="6" width="38.5703125" style="192" customWidth="1"/>
    <col min="7" max="7" width="24.5703125" style="192" customWidth="1"/>
    <col min="8" max="8" width="12.5703125" style="192" customWidth="1"/>
    <col min="9" max="9" width="12" style="192" customWidth="1"/>
    <col min="10" max="10" width="12.85546875" style="192" customWidth="1"/>
    <col min="11" max="11" width="20.140625" style="192" customWidth="1"/>
    <col min="12" max="12" width="30.140625" style="192" customWidth="1"/>
    <col min="13" max="13" width="28.42578125" style="192" customWidth="1"/>
    <col min="14" max="15" width="27.5703125" style="192" customWidth="1"/>
    <col min="16" max="16" width="27.28515625" style="192" customWidth="1"/>
    <col min="17" max="17" width="22.85546875" style="192" customWidth="1"/>
    <col min="18" max="28" width="22.7109375" style="192" customWidth="1"/>
    <col min="29" max="29" width="39.7109375" style="192" customWidth="1"/>
    <col min="30" max="30" width="4.140625" style="192" customWidth="1"/>
    <col min="31" max="16384" width="14.42578125" style="192"/>
  </cols>
  <sheetData>
    <row r="1" spans="1:30" ht="25.5" x14ac:dyDescent="0.25">
      <c r="A1" s="190" t="s">
        <v>88</v>
      </c>
      <c r="B1" s="190" t="s">
        <v>335</v>
      </c>
      <c r="C1" s="190" t="s">
        <v>34</v>
      </c>
      <c r="D1" s="190" t="s">
        <v>326</v>
      </c>
      <c r="E1" s="190" t="s">
        <v>90</v>
      </c>
      <c r="F1" s="190" t="s">
        <v>36</v>
      </c>
      <c r="G1" s="190" t="s">
        <v>37</v>
      </c>
      <c r="H1" s="191" t="s">
        <v>38</v>
      </c>
      <c r="I1" s="191" t="s">
        <v>39</v>
      </c>
      <c r="J1" s="191" t="s">
        <v>40</v>
      </c>
      <c r="K1" s="190" t="s">
        <v>41</v>
      </c>
      <c r="L1" s="190" t="s">
        <v>91</v>
      </c>
      <c r="M1" s="190" t="s">
        <v>42</v>
      </c>
      <c r="N1" s="167" t="s">
        <v>43</v>
      </c>
      <c r="O1" s="190" t="s">
        <v>44</v>
      </c>
      <c r="P1" s="190" t="s">
        <v>45</v>
      </c>
      <c r="Q1" s="190" t="s">
        <v>46</v>
      </c>
      <c r="R1" s="190" t="s">
        <v>85</v>
      </c>
      <c r="S1" s="190" t="s">
        <v>48</v>
      </c>
      <c r="T1" s="190" t="s">
        <v>299</v>
      </c>
      <c r="U1" s="190" t="s">
        <v>29</v>
      </c>
      <c r="V1" s="190" t="s">
        <v>30</v>
      </c>
      <c r="W1" s="190" t="s">
        <v>87</v>
      </c>
      <c r="X1" s="190" t="s">
        <v>31</v>
      </c>
      <c r="Y1" s="190" t="s">
        <v>32</v>
      </c>
      <c r="Z1" s="190" t="s">
        <v>33</v>
      </c>
      <c r="AA1" s="190" t="s">
        <v>298</v>
      </c>
      <c r="AB1" s="190" t="s">
        <v>84</v>
      </c>
      <c r="AC1" s="190" t="s">
        <v>81</v>
      </c>
      <c r="AD1" s="197"/>
    </row>
    <row r="2" spans="1:30" ht="12.75" x14ac:dyDescent="0.25">
      <c r="A2" s="241"/>
      <c r="B2" s="241"/>
      <c r="C2" s="148"/>
      <c r="D2" s="169"/>
      <c r="E2" s="170"/>
      <c r="F2" s="171"/>
      <c r="G2" s="149"/>
      <c r="H2" s="149"/>
      <c r="I2" s="149"/>
      <c r="J2" s="149"/>
      <c r="K2" s="169"/>
      <c r="L2" s="149"/>
      <c r="M2" s="198"/>
      <c r="N2" s="152" t="str">
        <f>+IF($L2="No iniciado 0%",0%,IF($L2="Elaboración de pliegos 5%",5%,IF($L2="Disponibilidad de pliegos 10%",10%,IF($L2="Publicación del proceso 15%",15%,IF($L2="Resolución de adjudicación 30%",30%,IF($L2="Adjudicación y firma de contrato 40%",40%,IF($L2="En ejecución 41% - 90%",(40%+($M2*50%)),IF($L2="Acta de entrega - recepción 95%",IF($M2=100%,95%,""),IF($L2="Registro contable 100%",IF($M2=100%,100%,""),"")))))))))</f>
        <v/>
      </c>
      <c r="O2" s="188"/>
      <c r="P2" s="188"/>
      <c r="Q2" s="149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176"/>
      <c r="AD2" s="199"/>
    </row>
  </sheetData>
  <sheetProtection selectLockedCells="1"/>
  <dataValidations count="7">
    <dataValidation type="list" allowBlank="1" showInputMessage="1" showErrorMessage="1" error="Solo se permiten datos de tipo texto" sqref="A2" xr:uid="{B4E2DA2D-0EC2-4906-9ABF-4B6C7FF6B96F}">
      <formula1>INDIRECT("distribuidoras")</formula1>
    </dataValidation>
    <dataValidation type="list" allowBlank="1" showInputMessage="1" showErrorMessage="1" sqref="C2" xr:uid="{533A1528-A7C2-4BF9-AF60-A07E72952C55}">
      <formula1>"Sí,No"</formula1>
    </dataValidation>
    <dataValidation type="custom" allowBlank="1" showInputMessage="1" showErrorMessage="1" error="Solo se permiten datos numericos" sqref="R2:AB2 M2:N2" xr:uid="{7F0D7675-3345-4282-905D-DCD1EAECBD8A}">
      <formula1>ISNUMBER(M2)</formula1>
    </dataValidation>
    <dataValidation type="list" allowBlank="1" showInputMessage="1" showErrorMessage="1" error="Solo se permiten datos de tipo texto" sqref="B2" xr:uid="{0AA238A3-4ABA-4A31-83F4-4FD50039AB32}">
      <formula1>INDIRECT("fuentes_financiamiento")</formula1>
    </dataValidation>
    <dataValidation type="list" allowBlank="1" showInputMessage="1" showErrorMessage="1" sqref="D2" xr:uid="{F11B9104-63D8-4639-A78B-15041EB436ED}">
      <formula1>INDIRECT("servicios")</formula1>
    </dataValidation>
    <dataValidation type="list" allowBlank="1" showInputMessage="1" showErrorMessage="1" sqref="K2" xr:uid="{F83B5513-4DC9-4489-BC2B-30644EC0B91F}">
      <formula1>INDIRECT("estado_proyecto")</formula1>
    </dataValidation>
    <dataValidation type="list" allowBlank="1" showInputMessage="1" showErrorMessage="1" sqref="L2" xr:uid="{00DB9BEB-3158-4022-9692-5846296D1717}">
      <formula1>INDIRECT("etapa_ejecucion_proyecto")</formula1>
    </dataValidation>
  </dataValidations>
  <pageMargins left="0.7" right="0.7" top="0.75" bottom="0.75" header="0.3" footer="0.3"/>
  <pageSetup paperSize="9" scale="12" orientation="portrait" horizontalDpi="90" verticalDpi="9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showGridLines="0" zoomScaleNormal="100" workbookViewId="0">
      <selection activeCell="B5" sqref="B5"/>
    </sheetView>
  </sheetViews>
  <sheetFormatPr baseColWidth="10" defaultColWidth="9.140625" defaultRowHeight="12.75" x14ac:dyDescent="0.2"/>
  <cols>
    <col min="1" max="1" width="61.5703125" style="14" customWidth="1"/>
    <col min="2" max="2" width="17" style="14" customWidth="1"/>
    <col min="3" max="8" width="16.5703125" style="14" customWidth="1"/>
    <col min="9" max="9" width="1.85546875" style="14" customWidth="1"/>
    <col min="10" max="31" width="19" style="14" customWidth="1"/>
    <col min="32" max="255" width="9.140625" style="14"/>
    <col min="256" max="256" width="3.140625" style="14" customWidth="1"/>
    <col min="257" max="257" width="4.5703125" style="14" bestFit="1" customWidth="1"/>
    <col min="258" max="258" width="28.5703125" style="14" customWidth="1"/>
    <col min="259" max="259" width="32.42578125" style="14" customWidth="1"/>
    <col min="260" max="260" width="14.85546875" style="14" customWidth="1"/>
    <col min="261" max="261" width="15.5703125" style="14" customWidth="1"/>
    <col min="262" max="262" width="19.42578125" style="14" customWidth="1"/>
    <col min="263" max="263" width="18.5703125" style="14" customWidth="1"/>
    <col min="264" max="264" width="17.85546875" style="14" customWidth="1"/>
    <col min="265" max="287" width="19" style="14" customWidth="1"/>
    <col min="288" max="511" width="9.140625" style="14"/>
    <col min="512" max="512" width="3.140625" style="14" customWidth="1"/>
    <col min="513" max="513" width="4.5703125" style="14" bestFit="1" customWidth="1"/>
    <col min="514" max="514" width="28.5703125" style="14" customWidth="1"/>
    <col min="515" max="515" width="32.42578125" style="14" customWidth="1"/>
    <col min="516" max="516" width="14.85546875" style="14" customWidth="1"/>
    <col min="517" max="517" width="15.5703125" style="14" customWidth="1"/>
    <col min="518" max="518" width="19.42578125" style="14" customWidth="1"/>
    <col min="519" max="519" width="18.5703125" style="14" customWidth="1"/>
    <col min="520" max="520" width="17.85546875" style="14" customWidth="1"/>
    <col min="521" max="543" width="19" style="14" customWidth="1"/>
    <col min="544" max="767" width="9.140625" style="14"/>
    <col min="768" max="768" width="3.140625" style="14" customWidth="1"/>
    <col min="769" max="769" width="4.5703125" style="14" bestFit="1" customWidth="1"/>
    <col min="770" max="770" width="28.5703125" style="14" customWidth="1"/>
    <col min="771" max="771" width="32.42578125" style="14" customWidth="1"/>
    <col min="772" max="772" width="14.85546875" style="14" customWidth="1"/>
    <col min="773" max="773" width="15.5703125" style="14" customWidth="1"/>
    <col min="774" max="774" width="19.42578125" style="14" customWidth="1"/>
    <col min="775" max="775" width="18.5703125" style="14" customWidth="1"/>
    <col min="776" max="776" width="17.85546875" style="14" customWidth="1"/>
    <col min="777" max="799" width="19" style="14" customWidth="1"/>
    <col min="800" max="1023" width="9.140625" style="14"/>
    <col min="1024" max="1024" width="3.140625" style="14" customWidth="1"/>
    <col min="1025" max="1025" width="4.5703125" style="14" bestFit="1" customWidth="1"/>
    <col min="1026" max="1026" width="28.5703125" style="14" customWidth="1"/>
    <col min="1027" max="1027" width="32.42578125" style="14" customWidth="1"/>
    <col min="1028" max="1028" width="14.85546875" style="14" customWidth="1"/>
    <col min="1029" max="1029" width="15.5703125" style="14" customWidth="1"/>
    <col min="1030" max="1030" width="19.42578125" style="14" customWidth="1"/>
    <col min="1031" max="1031" width="18.5703125" style="14" customWidth="1"/>
    <col min="1032" max="1032" width="17.85546875" style="14" customWidth="1"/>
    <col min="1033" max="1055" width="19" style="14" customWidth="1"/>
    <col min="1056" max="1279" width="9.140625" style="14"/>
    <col min="1280" max="1280" width="3.140625" style="14" customWidth="1"/>
    <col min="1281" max="1281" width="4.5703125" style="14" bestFit="1" customWidth="1"/>
    <col min="1282" max="1282" width="28.5703125" style="14" customWidth="1"/>
    <col min="1283" max="1283" width="32.42578125" style="14" customWidth="1"/>
    <col min="1284" max="1284" width="14.85546875" style="14" customWidth="1"/>
    <col min="1285" max="1285" width="15.5703125" style="14" customWidth="1"/>
    <col min="1286" max="1286" width="19.42578125" style="14" customWidth="1"/>
    <col min="1287" max="1287" width="18.5703125" style="14" customWidth="1"/>
    <col min="1288" max="1288" width="17.85546875" style="14" customWidth="1"/>
    <col min="1289" max="1311" width="19" style="14" customWidth="1"/>
    <col min="1312" max="1535" width="9.140625" style="14"/>
    <col min="1536" max="1536" width="3.140625" style="14" customWidth="1"/>
    <col min="1537" max="1537" width="4.5703125" style="14" bestFit="1" customWidth="1"/>
    <col min="1538" max="1538" width="28.5703125" style="14" customWidth="1"/>
    <col min="1539" max="1539" width="32.42578125" style="14" customWidth="1"/>
    <col min="1540" max="1540" width="14.85546875" style="14" customWidth="1"/>
    <col min="1541" max="1541" width="15.5703125" style="14" customWidth="1"/>
    <col min="1542" max="1542" width="19.42578125" style="14" customWidth="1"/>
    <col min="1543" max="1543" width="18.5703125" style="14" customWidth="1"/>
    <col min="1544" max="1544" width="17.85546875" style="14" customWidth="1"/>
    <col min="1545" max="1567" width="19" style="14" customWidth="1"/>
    <col min="1568" max="1791" width="9.140625" style="14"/>
    <col min="1792" max="1792" width="3.140625" style="14" customWidth="1"/>
    <col min="1793" max="1793" width="4.5703125" style="14" bestFit="1" customWidth="1"/>
    <col min="1794" max="1794" width="28.5703125" style="14" customWidth="1"/>
    <col min="1795" max="1795" width="32.42578125" style="14" customWidth="1"/>
    <col min="1796" max="1796" width="14.85546875" style="14" customWidth="1"/>
    <col min="1797" max="1797" width="15.5703125" style="14" customWidth="1"/>
    <col min="1798" max="1798" width="19.42578125" style="14" customWidth="1"/>
    <col min="1799" max="1799" width="18.5703125" style="14" customWidth="1"/>
    <col min="1800" max="1800" width="17.85546875" style="14" customWidth="1"/>
    <col min="1801" max="1823" width="19" style="14" customWidth="1"/>
    <col min="1824" max="2047" width="9.140625" style="14"/>
    <col min="2048" max="2048" width="3.140625" style="14" customWidth="1"/>
    <col min="2049" max="2049" width="4.5703125" style="14" bestFit="1" customWidth="1"/>
    <col min="2050" max="2050" width="28.5703125" style="14" customWidth="1"/>
    <col min="2051" max="2051" width="32.42578125" style="14" customWidth="1"/>
    <col min="2052" max="2052" width="14.85546875" style="14" customWidth="1"/>
    <col min="2053" max="2053" width="15.5703125" style="14" customWidth="1"/>
    <col min="2054" max="2054" width="19.42578125" style="14" customWidth="1"/>
    <col min="2055" max="2055" width="18.5703125" style="14" customWidth="1"/>
    <col min="2056" max="2056" width="17.85546875" style="14" customWidth="1"/>
    <col min="2057" max="2079" width="19" style="14" customWidth="1"/>
    <col min="2080" max="2303" width="9.140625" style="14"/>
    <col min="2304" max="2304" width="3.140625" style="14" customWidth="1"/>
    <col min="2305" max="2305" width="4.5703125" style="14" bestFit="1" customWidth="1"/>
    <col min="2306" max="2306" width="28.5703125" style="14" customWidth="1"/>
    <col min="2307" max="2307" width="32.42578125" style="14" customWidth="1"/>
    <col min="2308" max="2308" width="14.85546875" style="14" customWidth="1"/>
    <col min="2309" max="2309" width="15.5703125" style="14" customWidth="1"/>
    <col min="2310" max="2310" width="19.42578125" style="14" customWidth="1"/>
    <col min="2311" max="2311" width="18.5703125" style="14" customWidth="1"/>
    <col min="2312" max="2312" width="17.85546875" style="14" customWidth="1"/>
    <col min="2313" max="2335" width="19" style="14" customWidth="1"/>
    <col min="2336" max="2559" width="9.140625" style="14"/>
    <col min="2560" max="2560" width="3.140625" style="14" customWidth="1"/>
    <col min="2561" max="2561" width="4.5703125" style="14" bestFit="1" customWidth="1"/>
    <col min="2562" max="2562" width="28.5703125" style="14" customWidth="1"/>
    <col min="2563" max="2563" width="32.42578125" style="14" customWidth="1"/>
    <col min="2564" max="2564" width="14.85546875" style="14" customWidth="1"/>
    <col min="2565" max="2565" width="15.5703125" style="14" customWidth="1"/>
    <col min="2566" max="2566" width="19.42578125" style="14" customWidth="1"/>
    <col min="2567" max="2567" width="18.5703125" style="14" customWidth="1"/>
    <col min="2568" max="2568" width="17.85546875" style="14" customWidth="1"/>
    <col min="2569" max="2591" width="19" style="14" customWidth="1"/>
    <col min="2592" max="2815" width="9.140625" style="14"/>
    <col min="2816" max="2816" width="3.140625" style="14" customWidth="1"/>
    <col min="2817" max="2817" width="4.5703125" style="14" bestFit="1" customWidth="1"/>
    <col min="2818" max="2818" width="28.5703125" style="14" customWidth="1"/>
    <col min="2819" max="2819" width="32.42578125" style="14" customWidth="1"/>
    <col min="2820" max="2820" width="14.85546875" style="14" customWidth="1"/>
    <col min="2821" max="2821" width="15.5703125" style="14" customWidth="1"/>
    <col min="2822" max="2822" width="19.42578125" style="14" customWidth="1"/>
    <col min="2823" max="2823" width="18.5703125" style="14" customWidth="1"/>
    <col min="2824" max="2824" width="17.85546875" style="14" customWidth="1"/>
    <col min="2825" max="2847" width="19" style="14" customWidth="1"/>
    <col min="2848" max="3071" width="9.140625" style="14"/>
    <col min="3072" max="3072" width="3.140625" style="14" customWidth="1"/>
    <col min="3073" max="3073" width="4.5703125" style="14" bestFit="1" customWidth="1"/>
    <col min="3074" max="3074" width="28.5703125" style="14" customWidth="1"/>
    <col min="3075" max="3075" width="32.42578125" style="14" customWidth="1"/>
    <col min="3076" max="3076" width="14.85546875" style="14" customWidth="1"/>
    <col min="3077" max="3077" width="15.5703125" style="14" customWidth="1"/>
    <col min="3078" max="3078" width="19.42578125" style="14" customWidth="1"/>
    <col min="3079" max="3079" width="18.5703125" style="14" customWidth="1"/>
    <col min="3080" max="3080" width="17.85546875" style="14" customWidth="1"/>
    <col min="3081" max="3103" width="19" style="14" customWidth="1"/>
    <col min="3104" max="3327" width="9.140625" style="14"/>
    <col min="3328" max="3328" width="3.140625" style="14" customWidth="1"/>
    <col min="3329" max="3329" width="4.5703125" style="14" bestFit="1" customWidth="1"/>
    <col min="3330" max="3330" width="28.5703125" style="14" customWidth="1"/>
    <col min="3331" max="3331" width="32.42578125" style="14" customWidth="1"/>
    <col min="3332" max="3332" width="14.85546875" style="14" customWidth="1"/>
    <col min="3333" max="3333" width="15.5703125" style="14" customWidth="1"/>
    <col min="3334" max="3334" width="19.42578125" style="14" customWidth="1"/>
    <col min="3335" max="3335" width="18.5703125" style="14" customWidth="1"/>
    <col min="3336" max="3336" width="17.85546875" style="14" customWidth="1"/>
    <col min="3337" max="3359" width="19" style="14" customWidth="1"/>
    <col min="3360" max="3583" width="9.140625" style="14"/>
    <col min="3584" max="3584" width="3.140625" style="14" customWidth="1"/>
    <col min="3585" max="3585" width="4.5703125" style="14" bestFit="1" customWidth="1"/>
    <col min="3586" max="3586" width="28.5703125" style="14" customWidth="1"/>
    <col min="3587" max="3587" width="32.42578125" style="14" customWidth="1"/>
    <col min="3588" max="3588" width="14.85546875" style="14" customWidth="1"/>
    <col min="3589" max="3589" width="15.5703125" style="14" customWidth="1"/>
    <col min="3590" max="3590" width="19.42578125" style="14" customWidth="1"/>
    <col min="3591" max="3591" width="18.5703125" style="14" customWidth="1"/>
    <col min="3592" max="3592" width="17.85546875" style="14" customWidth="1"/>
    <col min="3593" max="3615" width="19" style="14" customWidth="1"/>
    <col min="3616" max="3839" width="9.140625" style="14"/>
    <col min="3840" max="3840" width="3.140625" style="14" customWidth="1"/>
    <col min="3841" max="3841" width="4.5703125" style="14" bestFit="1" customWidth="1"/>
    <col min="3842" max="3842" width="28.5703125" style="14" customWidth="1"/>
    <col min="3843" max="3843" width="32.42578125" style="14" customWidth="1"/>
    <col min="3844" max="3844" width="14.85546875" style="14" customWidth="1"/>
    <col min="3845" max="3845" width="15.5703125" style="14" customWidth="1"/>
    <col min="3846" max="3846" width="19.42578125" style="14" customWidth="1"/>
    <col min="3847" max="3847" width="18.5703125" style="14" customWidth="1"/>
    <col min="3848" max="3848" width="17.85546875" style="14" customWidth="1"/>
    <col min="3849" max="3871" width="19" style="14" customWidth="1"/>
    <col min="3872" max="4095" width="9.140625" style="14"/>
    <col min="4096" max="4096" width="3.140625" style="14" customWidth="1"/>
    <col min="4097" max="4097" width="4.5703125" style="14" bestFit="1" customWidth="1"/>
    <col min="4098" max="4098" width="28.5703125" style="14" customWidth="1"/>
    <col min="4099" max="4099" width="32.42578125" style="14" customWidth="1"/>
    <col min="4100" max="4100" width="14.85546875" style="14" customWidth="1"/>
    <col min="4101" max="4101" width="15.5703125" style="14" customWidth="1"/>
    <col min="4102" max="4102" width="19.42578125" style="14" customWidth="1"/>
    <col min="4103" max="4103" width="18.5703125" style="14" customWidth="1"/>
    <col min="4104" max="4104" width="17.85546875" style="14" customWidth="1"/>
    <col min="4105" max="4127" width="19" style="14" customWidth="1"/>
    <col min="4128" max="4351" width="9.140625" style="14"/>
    <col min="4352" max="4352" width="3.140625" style="14" customWidth="1"/>
    <col min="4353" max="4353" width="4.5703125" style="14" bestFit="1" customWidth="1"/>
    <col min="4354" max="4354" width="28.5703125" style="14" customWidth="1"/>
    <col min="4355" max="4355" width="32.42578125" style="14" customWidth="1"/>
    <col min="4356" max="4356" width="14.85546875" style="14" customWidth="1"/>
    <col min="4357" max="4357" width="15.5703125" style="14" customWidth="1"/>
    <col min="4358" max="4358" width="19.42578125" style="14" customWidth="1"/>
    <col min="4359" max="4359" width="18.5703125" style="14" customWidth="1"/>
    <col min="4360" max="4360" width="17.85546875" style="14" customWidth="1"/>
    <col min="4361" max="4383" width="19" style="14" customWidth="1"/>
    <col min="4384" max="4607" width="9.140625" style="14"/>
    <col min="4608" max="4608" width="3.140625" style="14" customWidth="1"/>
    <col min="4609" max="4609" width="4.5703125" style="14" bestFit="1" customWidth="1"/>
    <col min="4610" max="4610" width="28.5703125" style="14" customWidth="1"/>
    <col min="4611" max="4611" width="32.42578125" style="14" customWidth="1"/>
    <col min="4612" max="4612" width="14.85546875" style="14" customWidth="1"/>
    <col min="4613" max="4613" width="15.5703125" style="14" customWidth="1"/>
    <col min="4614" max="4614" width="19.42578125" style="14" customWidth="1"/>
    <col min="4615" max="4615" width="18.5703125" style="14" customWidth="1"/>
    <col min="4616" max="4616" width="17.85546875" style="14" customWidth="1"/>
    <col min="4617" max="4639" width="19" style="14" customWidth="1"/>
    <col min="4640" max="4863" width="9.140625" style="14"/>
    <col min="4864" max="4864" width="3.140625" style="14" customWidth="1"/>
    <col min="4865" max="4865" width="4.5703125" style="14" bestFit="1" customWidth="1"/>
    <col min="4866" max="4866" width="28.5703125" style="14" customWidth="1"/>
    <col min="4867" max="4867" width="32.42578125" style="14" customWidth="1"/>
    <col min="4868" max="4868" width="14.85546875" style="14" customWidth="1"/>
    <col min="4869" max="4869" width="15.5703125" style="14" customWidth="1"/>
    <col min="4870" max="4870" width="19.42578125" style="14" customWidth="1"/>
    <col min="4871" max="4871" width="18.5703125" style="14" customWidth="1"/>
    <col min="4872" max="4872" width="17.85546875" style="14" customWidth="1"/>
    <col min="4873" max="4895" width="19" style="14" customWidth="1"/>
    <col min="4896" max="5119" width="9.140625" style="14"/>
    <col min="5120" max="5120" width="3.140625" style="14" customWidth="1"/>
    <col min="5121" max="5121" width="4.5703125" style="14" bestFit="1" customWidth="1"/>
    <col min="5122" max="5122" width="28.5703125" style="14" customWidth="1"/>
    <col min="5123" max="5123" width="32.42578125" style="14" customWidth="1"/>
    <col min="5124" max="5124" width="14.85546875" style="14" customWidth="1"/>
    <col min="5125" max="5125" width="15.5703125" style="14" customWidth="1"/>
    <col min="5126" max="5126" width="19.42578125" style="14" customWidth="1"/>
    <col min="5127" max="5127" width="18.5703125" style="14" customWidth="1"/>
    <col min="5128" max="5128" width="17.85546875" style="14" customWidth="1"/>
    <col min="5129" max="5151" width="19" style="14" customWidth="1"/>
    <col min="5152" max="5375" width="9.140625" style="14"/>
    <col min="5376" max="5376" width="3.140625" style="14" customWidth="1"/>
    <col min="5377" max="5377" width="4.5703125" style="14" bestFit="1" customWidth="1"/>
    <col min="5378" max="5378" width="28.5703125" style="14" customWidth="1"/>
    <col min="5379" max="5379" width="32.42578125" style="14" customWidth="1"/>
    <col min="5380" max="5380" width="14.85546875" style="14" customWidth="1"/>
    <col min="5381" max="5381" width="15.5703125" style="14" customWidth="1"/>
    <col min="5382" max="5382" width="19.42578125" style="14" customWidth="1"/>
    <col min="5383" max="5383" width="18.5703125" style="14" customWidth="1"/>
    <col min="5384" max="5384" width="17.85546875" style="14" customWidth="1"/>
    <col min="5385" max="5407" width="19" style="14" customWidth="1"/>
    <col min="5408" max="5631" width="9.140625" style="14"/>
    <col min="5632" max="5632" width="3.140625" style="14" customWidth="1"/>
    <col min="5633" max="5633" width="4.5703125" style="14" bestFit="1" customWidth="1"/>
    <col min="5634" max="5634" width="28.5703125" style="14" customWidth="1"/>
    <col min="5635" max="5635" width="32.42578125" style="14" customWidth="1"/>
    <col min="5636" max="5636" width="14.85546875" style="14" customWidth="1"/>
    <col min="5637" max="5637" width="15.5703125" style="14" customWidth="1"/>
    <col min="5638" max="5638" width="19.42578125" style="14" customWidth="1"/>
    <col min="5639" max="5639" width="18.5703125" style="14" customWidth="1"/>
    <col min="5640" max="5640" width="17.85546875" style="14" customWidth="1"/>
    <col min="5641" max="5663" width="19" style="14" customWidth="1"/>
    <col min="5664" max="5887" width="9.140625" style="14"/>
    <col min="5888" max="5888" width="3.140625" style="14" customWidth="1"/>
    <col min="5889" max="5889" width="4.5703125" style="14" bestFit="1" customWidth="1"/>
    <col min="5890" max="5890" width="28.5703125" style="14" customWidth="1"/>
    <col min="5891" max="5891" width="32.42578125" style="14" customWidth="1"/>
    <col min="5892" max="5892" width="14.85546875" style="14" customWidth="1"/>
    <col min="5893" max="5893" width="15.5703125" style="14" customWidth="1"/>
    <col min="5894" max="5894" width="19.42578125" style="14" customWidth="1"/>
    <col min="5895" max="5895" width="18.5703125" style="14" customWidth="1"/>
    <col min="5896" max="5896" width="17.85546875" style="14" customWidth="1"/>
    <col min="5897" max="5919" width="19" style="14" customWidth="1"/>
    <col min="5920" max="6143" width="9.140625" style="14"/>
    <col min="6144" max="6144" width="3.140625" style="14" customWidth="1"/>
    <col min="6145" max="6145" width="4.5703125" style="14" bestFit="1" customWidth="1"/>
    <col min="6146" max="6146" width="28.5703125" style="14" customWidth="1"/>
    <col min="6147" max="6147" width="32.42578125" style="14" customWidth="1"/>
    <col min="6148" max="6148" width="14.85546875" style="14" customWidth="1"/>
    <col min="6149" max="6149" width="15.5703125" style="14" customWidth="1"/>
    <col min="6150" max="6150" width="19.42578125" style="14" customWidth="1"/>
    <col min="6151" max="6151" width="18.5703125" style="14" customWidth="1"/>
    <col min="6152" max="6152" width="17.85546875" style="14" customWidth="1"/>
    <col min="6153" max="6175" width="19" style="14" customWidth="1"/>
    <col min="6176" max="6399" width="9.140625" style="14"/>
    <col min="6400" max="6400" width="3.140625" style="14" customWidth="1"/>
    <col min="6401" max="6401" width="4.5703125" style="14" bestFit="1" customWidth="1"/>
    <col min="6402" max="6402" width="28.5703125" style="14" customWidth="1"/>
    <col min="6403" max="6403" width="32.42578125" style="14" customWidth="1"/>
    <col min="6404" max="6404" width="14.85546875" style="14" customWidth="1"/>
    <col min="6405" max="6405" width="15.5703125" style="14" customWidth="1"/>
    <col min="6406" max="6406" width="19.42578125" style="14" customWidth="1"/>
    <col min="6407" max="6407" width="18.5703125" style="14" customWidth="1"/>
    <col min="6408" max="6408" width="17.85546875" style="14" customWidth="1"/>
    <col min="6409" max="6431" width="19" style="14" customWidth="1"/>
    <col min="6432" max="6655" width="9.140625" style="14"/>
    <col min="6656" max="6656" width="3.140625" style="14" customWidth="1"/>
    <col min="6657" max="6657" width="4.5703125" style="14" bestFit="1" customWidth="1"/>
    <col min="6658" max="6658" width="28.5703125" style="14" customWidth="1"/>
    <col min="6659" max="6659" width="32.42578125" style="14" customWidth="1"/>
    <col min="6660" max="6660" width="14.85546875" style="14" customWidth="1"/>
    <col min="6661" max="6661" width="15.5703125" style="14" customWidth="1"/>
    <col min="6662" max="6662" width="19.42578125" style="14" customWidth="1"/>
    <col min="6663" max="6663" width="18.5703125" style="14" customWidth="1"/>
    <col min="6664" max="6664" width="17.85546875" style="14" customWidth="1"/>
    <col min="6665" max="6687" width="19" style="14" customWidth="1"/>
    <col min="6688" max="6911" width="9.140625" style="14"/>
    <col min="6912" max="6912" width="3.140625" style="14" customWidth="1"/>
    <col min="6913" max="6913" width="4.5703125" style="14" bestFit="1" customWidth="1"/>
    <col min="6914" max="6914" width="28.5703125" style="14" customWidth="1"/>
    <col min="6915" max="6915" width="32.42578125" style="14" customWidth="1"/>
    <col min="6916" max="6916" width="14.85546875" style="14" customWidth="1"/>
    <col min="6917" max="6917" width="15.5703125" style="14" customWidth="1"/>
    <col min="6918" max="6918" width="19.42578125" style="14" customWidth="1"/>
    <col min="6919" max="6919" width="18.5703125" style="14" customWidth="1"/>
    <col min="6920" max="6920" width="17.85546875" style="14" customWidth="1"/>
    <col min="6921" max="6943" width="19" style="14" customWidth="1"/>
    <col min="6944" max="7167" width="9.140625" style="14"/>
    <col min="7168" max="7168" width="3.140625" style="14" customWidth="1"/>
    <col min="7169" max="7169" width="4.5703125" style="14" bestFit="1" customWidth="1"/>
    <col min="7170" max="7170" width="28.5703125" style="14" customWidth="1"/>
    <col min="7171" max="7171" width="32.42578125" style="14" customWidth="1"/>
    <col min="7172" max="7172" width="14.85546875" style="14" customWidth="1"/>
    <col min="7173" max="7173" width="15.5703125" style="14" customWidth="1"/>
    <col min="7174" max="7174" width="19.42578125" style="14" customWidth="1"/>
    <col min="7175" max="7175" width="18.5703125" style="14" customWidth="1"/>
    <col min="7176" max="7176" width="17.85546875" style="14" customWidth="1"/>
    <col min="7177" max="7199" width="19" style="14" customWidth="1"/>
    <col min="7200" max="7423" width="9.140625" style="14"/>
    <col min="7424" max="7424" width="3.140625" style="14" customWidth="1"/>
    <col min="7425" max="7425" width="4.5703125" style="14" bestFit="1" customWidth="1"/>
    <col min="7426" max="7426" width="28.5703125" style="14" customWidth="1"/>
    <col min="7427" max="7427" width="32.42578125" style="14" customWidth="1"/>
    <col min="7428" max="7428" width="14.85546875" style="14" customWidth="1"/>
    <col min="7429" max="7429" width="15.5703125" style="14" customWidth="1"/>
    <col min="7430" max="7430" width="19.42578125" style="14" customWidth="1"/>
    <col min="7431" max="7431" width="18.5703125" style="14" customWidth="1"/>
    <col min="7432" max="7432" width="17.85546875" style="14" customWidth="1"/>
    <col min="7433" max="7455" width="19" style="14" customWidth="1"/>
    <col min="7456" max="7679" width="9.140625" style="14"/>
    <col min="7680" max="7680" width="3.140625" style="14" customWidth="1"/>
    <col min="7681" max="7681" width="4.5703125" style="14" bestFit="1" customWidth="1"/>
    <col min="7682" max="7682" width="28.5703125" style="14" customWidth="1"/>
    <col min="7683" max="7683" width="32.42578125" style="14" customWidth="1"/>
    <col min="7684" max="7684" width="14.85546875" style="14" customWidth="1"/>
    <col min="7685" max="7685" width="15.5703125" style="14" customWidth="1"/>
    <col min="7686" max="7686" width="19.42578125" style="14" customWidth="1"/>
    <col min="7687" max="7687" width="18.5703125" style="14" customWidth="1"/>
    <col min="7688" max="7688" width="17.85546875" style="14" customWidth="1"/>
    <col min="7689" max="7711" width="19" style="14" customWidth="1"/>
    <col min="7712" max="7935" width="9.140625" style="14"/>
    <col min="7936" max="7936" width="3.140625" style="14" customWidth="1"/>
    <col min="7937" max="7937" width="4.5703125" style="14" bestFit="1" customWidth="1"/>
    <col min="7938" max="7938" width="28.5703125" style="14" customWidth="1"/>
    <col min="7939" max="7939" width="32.42578125" style="14" customWidth="1"/>
    <col min="7940" max="7940" width="14.85546875" style="14" customWidth="1"/>
    <col min="7941" max="7941" width="15.5703125" style="14" customWidth="1"/>
    <col min="7942" max="7942" width="19.42578125" style="14" customWidth="1"/>
    <col min="7943" max="7943" width="18.5703125" style="14" customWidth="1"/>
    <col min="7944" max="7944" width="17.85546875" style="14" customWidth="1"/>
    <col min="7945" max="7967" width="19" style="14" customWidth="1"/>
    <col min="7968" max="8191" width="9.140625" style="14"/>
    <col min="8192" max="8192" width="3.140625" style="14" customWidth="1"/>
    <col min="8193" max="8193" width="4.5703125" style="14" bestFit="1" customWidth="1"/>
    <col min="8194" max="8194" width="28.5703125" style="14" customWidth="1"/>
    <col min="8195" max="8195" width="32.42578125" style="14" customWidth="1"/>
    <col min="8196" max="8196" width="14.85546875" style="14" customWidth="1"/>
    <col min="8197" max="8197" width="15.5703125" style="14" customWidth="1"/>
    <col min="8198" max="8198" width="19.42578125" style="14" customWidth="1"/>
    <col min="8199" max="8199" width="18.5703125" style="14" customWidth="1"/>
    <col min="8200" max="8200" width="17.85546875" style="14" customWidth="1"/>
    <col min="8201" max="8223" width="19" style="14" customWidth="1"/>
    <col min="8224" max="8447" width="9.140625" style="14"/>
    <col min="8448" max="8448" width="3.140625" style="14" customWidth="1"/>
    <col min="8449" max="8449" width="4.5703125" style="14" bestFit="1" customWidth="1"/>
    <col min="8450" max="8450" width="28.5703125" style="14" customWidth="1"/>
    <col min="8451" max="8451" width="32.42578125" style="14" customWidth="1"/>
    <col min="8452" max="8452" width="14.85546875" style="14" customWidth="1"/>
    <col min="8453" max="8453" width="15.5703125" style="14" customWidth="1"/>
    <col min="8454" max="8454" width="19.42578125" style="14" customWidth="1"/>
    <col min="8455" max="8455" width="18.5703125" style="14" customWidth="1"/>
    <col min="8456" max="8456" width="17.85546875" style="14" customWidth="1"/>
    <col min="8457" max="8479" width="19" style="14" customWidth="1"/>
    <col min="8480" max="8703" width="9.140625" style="14"/>
    <col min="8704" max="8704" width="3.140625" style="14" customWidth="1"/>
    <col min="8705" max="8705" width="4.5703125" style="14" bestFit="1" customWidth="1"/>
    <col min="8706" max="8706" width="28.5703125" style="14" customWidth="1"/>
    <col min="8707" max="8707" width="32.42578125" style="14" customWidth="1"/>
    <col min="8708" max="8708" width="14.85546875" style="14" customWidth="1"/>
    <col min="8709" max="8709" width="15.5703125" style="14" customWidth="1"/>
    <col min="8710" max="8710" width="19.42578125" style="14" customWidth="1"/>
    <col min="8711" max="8711" width="18.5703125" style="14" customWidth="1"/>
    <col min="8712" max="8712" width="17.85546875" style="14" customWidth="1"/>
    <col min="8713" max="8735" width="19" style="14" customWidth="1"/>
    <col min="8736" max="8959" width="9.140625" style="14"/>
    <col min="8960" max="8960" width="3.140625" style="14" customWidth="1"/>
    <col min="8961" max="8961" width="4.5703125" style="14" bestFit="1" customWidth="1"/>
    <col min="8962" max="8962" width="28.5703125" style="14" customWidth="1"/>
    <col min="8963" max="8963" width="32.42578125" style="14" customWidth="1"/>
    <col min="8964" max="8964" width="14.85546875" style="14" customWidth="1"/>
    <col min="8965" max="8965" width="15.5703125" style="14" customWidth="1"/>
    <col min="8966" max="8966" width="19.42578125" style="14" customWidth="1"/>
    <col min="8967" max="8967" width="18.5703125" style="14" customWidth="1"/>
    <col min="8968" max="8968" width="17.85546875" style="14" customWidth="1"/>
    <col min="8969" max="8991" width="19" style="14" customWidth="1"/>
    <col min="8992" max="9215" width="9.140625" style="14"/>
    <col min="9216" max="9216" width="3.140625" style="14" customWidth="1"/>
    <col min="9217" max="9217" width="4.5703125" style="14" bestFit="1" customWidth="1"/>
    <col min="9218" max="9218" width="28.5703125" style="14" customWidth="1"/>
    <col min="9219" max="9219" width="32.42578125" style="14" customWidth="1"/>
    <col min="9220" max="9220" width="14.85546875" style="14" customWidth="1"/>
    <col min="9221" max="9221" width="15.5703125" style="14" customWidth="1"/>
    <col min="9222" max="9222" width="19.42578125" style="14" customWidth="1"/>
    <col min="9223" max="9223" width="18.5703125" style="14" customWidth="1"/>
    <col min="9224" max="9224" width="17.85546875" style="14" customWidth="1"/>
    <col min="9225" max="9247" width="19" style="14" customWidth="1"/>
    <col min="9248" max="9471" width="9.140625" style="14"/>
    <col min="9472" max="9472" width="3.140625" style="14" customWidth="1"/>
    <col min="9473" max="9473" width="4.5703125" style="14" bestFit="1" customWidth="1"/>
    <col min="9474" max="9474" width="28.5703125" style="14" customWidth="1"/>
    <col min="9475" max="9475" width="32.42578125" style="14" customWidth="1"/>
    <col min="9476" max="9476" width="14.85546875" style="14" customWidth="1"/>
    <col min="9477" max="9477" width="15.5703125" style="14" customWidth="1"/>
    <col min="9478" max="9478" width="19.42578125" style="14" customWidth="1"/>
    <col min="9479" max="9479" width="18.5703125" style="14" customWidth="1"/>
    <col min="9480" max="9480" width="17.85546875" style="14" customWidth="1"/>
    <col min="9481" max="9503" width="19" style="14" customWidth="1"/>
    <col min="9504" max="9727" width="9.140625" style="14"/>
    <col min="9728" max="9728" width="3.140625" style="14" customWidth="1"/>
    <col min="9729" max="9729" width="4.5703125" style="14" bestFit="1" customWidth="1"/>
    <col min="9730" max="9730" width="28.5703125" style="14" customWidth="1"/>
    <col min="9731" max="9731" width="32.42578125" style="14" customWidth="1"/>
    <col min="9732" max="9732" width="14.85546875" style="14" customWidth="1"/>
    <col min="9733" max="9733" width="15.5703125" style="14" customWidth="1"/>
    <col min="9734" max="9734" width="19.42578125" style="14" customWidth="1"/>
    <col min="9735" max="9735" width="18.5703125" style="14" customWidth="1"/>
    <col min="9736" max="9736" width="17.85546875" style="14" customWidth="1"/>
    <col min="9737" max="9759" width="19" style="14" customWidth="1"/>
    <col min="9760" max="9983" width="9.140625" style="14"/>
    <col min="9984" max="9984" width="3.140625" style="14" customWidth="1"/>
    <col min="9985" max="9985" width="4.5703125" style="14" bestFit="1" customWidth="1"/>
    <col min="9986" max="9986" width="28.5703125" style="14" customWidth="1"/>
    <col min="9987" max="9987" width="32.42578125" style="14" customWidth="1"/>
    <col min="9988" max="9988" width="14.85546875" style="14" customWidth="1"/>
    <col min="9989" max="9989" width="15.5703125" style="14" customWidth="1"/>
    <col min="9990" max="9990" width="19.42578125" style="14" customWidth="1"/>
    <col min="9991" max="9991" width="18.5703125" style="14" customWidth="1"/>
    <col min="9992" max="9992" width="17.85546875" style="14" customWidth="1"/>
    <col min="9993" max="10015" width="19" style="14" customWidth="1"/>
    <col min="10016" max="10239" width="9.140625" style="14"/>
    <col min="10240" max="10240" width="3.140625" style="14" customWidth="1"/>
    <col min="10241" max="10241" width="4.5703125" style="14" bestFit="1" customWidth="1"/>
    <col min="10242" max="10242" width="28.5703125" style="14" customWidth="1"/>
    <col min="10243" max="10243" width="32.42578125" style="14" customWidth="1"/>
    <col min="10244" max="10244" width="14.85546875" style="14" customWidth="1"/>
    <col min="10245" max="10245" width="15.5703125" style="14" customWidth="1"/>
    <col min="10246" max="10246" width="19.42578125" style="14" customWidth="1"/>
    <col min="10247" max="10247" width="18.5703125" style="14" customWidth="1"/>
    <col min="10248" max="10248" width="17.85546875" style="14" customWidth="1"/>
    <col min="10249" max="10271" width="19" style="14" customWidth="1"/>
    <col min="10272" max="10495" width="9.140625" style="14"/>
    <col min="10496" max="10496" width="3.140625" style="14" customWidth="1"/>
    <col min="10497" max="10497" width="4.5703125" style="14" bestFit="1" customWidth="1"/>
    <col min="10498" max="10498" width="28.5703125" style="14" customWidth="1"/>
    <col min="10499" max="10499" width="32.42578125" style="14" customWidth="1"/>
    <col min="10500" max="10500" width="14.85546875" style="14" customWidth="1"/>
    <col min="10501" max="10501" width="15.5703125" style="14" customWidth="1"/>
    <col min="10502" max="10502" width="19.42578125" style="14" customWidth="1"/>
    <col min="10503" max="10503" width="18.5703125" style="14" customWidth="1"/>
    <col min="10504" max="10504" width="17.85546875" style="14" customWidth="1"/>
    <col min="10505" max="10527" width="19" style="14" customWidth="1"/>
    <col min="10528" max="10751" width="9.140625" style="14"/>
    <col min="10752" max="10752" width="3.140625" style="14" customWidth="1"/>
    <col min="10753" max="10753" width="4.5703125" style="14" bestFit="1" customWidth="1"/>
    <col min="10754" max="10754" width="28.5703125" style="14" customWidth="1"/>
    <col min="10755" max="10755" width="32.42578125" style="14" customWidth="1"/>
    <col min="10756" max="10756" width="14.85546875" style="14" customWidth="1"/>
    <col min="10757" max="10757" width="15.5703125" style="14" customWidth="1"/>
    <col min="10758" max="10758" width="19.42578125" style="14" customWidth="1"/>
    <col min="10759" max="10759" width="18.5703125" style="14" customWidth="1"/>
    <col min="10760" max="10760" width="17.85546875" style="14" customWidth="1"/>
    <col min="10761" max="10783" width="19" style="14" customWidth="1"/>
    <col min="10784" max="11007" width="9.140625" style="14"/>
    <col min="11008" max="11008" width="3.140625" style="14" customWidth="1"/>
    <col min="11009" max="11009" width="4.5703125" style="14" bestFit="1" customWidth="1"/>
    <col min="11010" max="11010" width="28.5703125" style="14" customWidth="1"/>
    <col min="11011" max="11011" width="32.42578125" style="14" customWidth="1"/>
    <col min="11012" max="11012" width="14.85546875" style="14" customWidth="1"/>
    <col min="11013" max="11013" width="15.5703125" style="14" customWidth="1"/>
    <col min="11014" max="11014" width="19.42578125" style="14" customWidth="1"/>
    <col min="11015" max="11015" width="18.5703125" style="14" customWidth="1"/>
    <col min="11016" max="11016" width="17.85546875" style="14" customWidth="1"/>
    <col min="11017" max="11039" width="19" style="14" customWidth="1"/>
    <col min="11040" max="11263" width="9.140625" style="14"/>
    <col min="11264" max="11264" width="3.140625" style="14" customWidth="1"/>
    <col min="11265" max="11265" width="4.5703125" style="14" bestFit="1" customWidth="1"/>
    <col min="11266" max="11266" width="28.5703125" style="14" customWidth="1"/>
    <col min="11267" max="11267" width="32.42578125" style="14" customWidth="1"/>
    <col min="11268" max="11268" width="14.85546875" style="14" customWidth="1"/>
    <col min="11269" max="11269" width="15.5703125" style="14" customWidth="1"/>
    <col min="11270" max="11270" width="19.42578125" style="14" customWidth="1"/>
    <col min="11271" max="11271" width="18.5703125" style="14" customWidth="1"/>
    <col min="11272" max="11272" width="17.85546875" style="14" customWidth="1"/>
    <col min="11273" max="11295" width="19" style="14" customWidth="1"/>
    <col min="11296" max="11519" width="9.140625" style="14"/>
    <col min="11520" max="11520" width="3.140625" style="14" customWidth="1"/>
    <col min="11521" max="11521" width="4.5703125" style="14" bestFit="1" customWidth="1"/>
    <col min="11522" max="11522" width="28.5703125" style="14" customWidth="1"/>
    <col min="11523" max="11523" width="32.42578125" style="14" customWidth="1"/>
    <col min="11524" max="11524" width="14.85546875" style="14" customWidth="1"/>
    <col min="11525" max="11525" width="15.5703125" style="14" customWidth="1"/>
    <col min="11526" max="11526" width="19.42578125" style="14" customWidth="1"/>
    <col min="11527" max="11527" width="18.5703125" style="14" customWidth="1"/>
    <col min="11528" max="11528" width="17.85546875" style="14" customWidth="1"/>
    <col min="11529" max="11551" width="19" style="14" customWidth="1"/>
    <col min="11552" max="11775" width="9.140625" style="14"/>
    <col min="11776" max="11776" width="3.140625" style="14" customWidth="1"/>
    <col min="11777" max="11777" width="4.5703125" style="14" bestFit="1" customWidth="1"/>
    <col min="11778" max="11778" width="28.5703125" style="14" customWidth="1"/>
    <col min="11779" max="11779" width="32.42578125" style="14" customWidth="1"/>
    <col min="11780" max="11780" width="14.85546875" style="14" customWidth="1"/>
    <col min="11781" max="11781" width="15.5703125" style="14" customWidth="1"/>
    <col min="11782" max="11782" width="19.42578125" style="14" customWidth="1"/>
    <col min="11783" max="11783" width="18.5703125" style="14" customWidth="1"/>
    <col min="11784" max="11784" width="17.85546875" style="14" customWidth="1"/>
    <col min="11785" max="11807" width="19" style="14" customWidth="1"/>
    <col min="11808" max="12031" width="9.140625" style="14"/>
    <col min="12032" max="12032" width="3.140625" style="14" customWidth="1"/>
    <col min="12033" max="12033" width="4.5703125" style="14" bestFit="1" customWidth="1"/>
    <col min="12034" max="12034" width="28.5703125" style="14" customWidth="1"/>
    <col min="12035" max="12035" width="32.42578125" style="14" customWidth="1"/>
    <col min="12036" max="12036" width="14.85546875" style="14" customWidth="1"/>
    <col min="12037" max="12037" width="15.5703125" style="14" customWidth="1"/>
    <col min="12038" max="12038" width="19.42578125" style="14" customWidth="1"/>
    <col min="12039" max="12039" width="18.5703125" style="14" customWidth="1"/>
    <col min="12040" max="12040" width="17.85546875" style="14" customWidth="1"/>
    <col min="12041" max="12063" width="19" style="14" customWidth="1"/>
    <col min="12064" max="12287" width="9.140625" style="14"/>
    <col min="12288" max="12288" width="3.140625" style="14" customWidth="1"/>
    <col min="12289" max="12289" width="4.5703125" style="14" bestFit="1" customWidth="1"/>
    <col min="12290" max="12290" width="28.5703125" style="14" customWidth="1"/>
    <col min="12291" max="12291" width="32.42578125" style="14" customWidth="1"/>
    <col min="12292" max="12292" width="14.85546875" style="14" customWidth="1"/>
    <col min="12293" max="12293" width="15.5703125" style="14" customWidth="1"/>
    <col min="12294" max="12294" width="19.42578125" style="14" customWidth="1"/>
    <col min="12295" max="12295" width="18.5703125" style="14" customWidth="1"/>
    <col min="12296" max="12296" width="17.85546875" style="14" customWidth="1"/>
    <col min="12297" max="12319" width="19" style="14" customWidth="1"/>
    <col min="12320" max="12543" width="9.140625" style="14"/>
    <col min="12544" max="12544" width="3.140625" style="14" customWidth="1"/>
    <col min="12545" max="12545" width="4.5703125" style="14" bestFit="1" customWidth="1"/>
    <col min="12546" max="12546" width="28.5703125" style="14" customWidth="1"/>
    <col min="12547" max="12547" width="32.42578125" style="14" customWidth="1"/>
    <col min="12548" max="12548" width="14.85546875" style="14" customWidth="1"/>
    <col min="12549" max="12549" width="15.5703125" style="14" customWidth="1"/>
    <col min="12550" max="12550" width="19.42578125" style="14" customWidth="1"/>
    <col min="12551" max="12551" width="18.5703125" style="14" customWidth="1"/>
    <col min="12552" max="12552" width="17.85546875" style="14" customWidth="1"/>
    <col min="12553" max="12575" width="19" style="14" customWidth="1"/>
    <col min="12576" max="12799" width="9.140625" style="14"/>
    <col min="12800" max="12800" width="3.140625" style="14" customWidth="1"/>
    <col min="12801" max="12801" width="4.5703125" style="14" bestFit="1" customWidth="1"/>
    <col min="12802" max="12802" width="28.5703125" style="14" customWidth="1"/>
    <col min="12803" max="12803" width="32.42578125" style="14" customWidth="1"/>
    <col min="12804" max="12804" width="14.85546875" style="14" customWidth="1"/>
    <col min="12805" max="12805" width="15.5703125" style="14" customWidth="1"/>
    <col min="12806" max="12806" width="19.42578125" style="14" customWidth="1"/>
    <col min="12807" max="12807" width="18.5703125" style="14" customWidth="1"/>
    <col min="12808" max="12808" width="17.85546875" style="14" customWidth="1"/>
    <col min="12809" max="12831" width="19" style="14" customWidth="1"/>
    <col min="12832" max="13055" width="9.140625" style="14"/>
    <col min="13056" max="13056" width="3.140625" style="14" customWidth="1"/>
    <col min="13057" max="13057" width="4.5703125" style="14" bestFit="1" customWidth="1"/>
    <col min="13058" max="13058" width="28.5703125" style="14" customWidth="1"/>
    <col min="13059" max="13059" width="32.42578125" style="14" customWidth="1"/>
    <col min="13060" max="13060" width="14.85546875" style="14" customWidth="1"/>
    <col min="13061" max="13061" width="15.5703125" style="14" customWidth="1"/>
    <col min="13062" max="13062" width="19.42578125" style="14" customWidth="1"/>
    <col min="13063" max="13063" width="18.5703125" style="14" customWidth="1"/>
    <col min="13064" max="13064" width="17.85546875" style="14" customWidth="1"/>
    <col min="13065" max="13087" width="19" style="14" customWidth="1"/>
    <col min="13088" max="13311" width="9.140625" style="14"/>
    <col min="13312" max="13312" width="3.140625" style="14" customWidth="1"/>
    <col min="13313" max="13313" width="4.5703125" style="14" bestFit="1" customWidth="1"/>
    <col min="13314" max="13314" width="28.5703125" style="14" customWidth="1"/>
    <col min="13315" max="13315" width="32.42578125" style="14" customWidth="1"/>
    <col min="13316" max="13316" width="14.85546875" style="14" customWidth="1"/>
    <col min="13317" max="13317" width="15.5703125" style="14" customWidth="1"/>
    <col min="13318" max="13318" width="19.42578125" style="14" customWidth="1"/>
    <col min="13319" max="13319" width="18.5703125" style="14" customWidth="1"/>
    <col min="13320" max="13320" width="17.85546875" style="14" customWidth="1"/>
    <col min="13321" max="13343" width="19" style="14" customWidth="1"/>
    <col min="13344" max="13567" width="9.140625" style="14"/>
    <col min="13568" max="13568" width="3.140625" style="14" customWidth="1"/>
    <col min="13569" max="13569" width="4.5703125" style="14" bestFit="1" customWidth="1"/>
    <col min="13570" max="13570" width="28.5703125" style="14" customWidth="1"/>
    <col min="13571" max="13571" width="32.42578125" style="14" customWidth="1"/>
    <col min="13572" max="13572" width="14.85546875" style="14" customWidth="1"/>
    <col min="13573" max="13573" width="15.5703125" style="14" customWidth="1"/>
    <col min="13574" max="13574" width="19.42578125" style="14" customWidth="1"/>
    <col min="13575" max="13575" width="18.5703125" style="14" customWidth="1"/>
    <col min="13576" max="13576" width="17.85546875" style="14" customWidth="1"/>
    <col min="13577" max="13599" width="19" style="14" customWidth="1"/>
    <col min="13600" max="13823" width="9.140625" style="14"/>
    <col min="13824" max="13824" width="3.140625" style="14" customWidth="1"/>
    <col min="13825" max="13825" width="4.5703125" style="14" bestFit="1" customWidth="1"/>
    <col min="13826" max="13826" width="28.5703125" style="14" customWidth="1"/>
    <col min="13827" max="13827" width="32.42578125" style="14" customWidth="1"/>
    <col min="13828" max="13828" width="14.85546875" style="14" customWidth="1"/>
    <col min="13829" max="13829" width="15.5703125" style="14" customWidth="1"/>
    <col min="13830" max="13830" width="19.42578125" style="14" customWidth="1"/>
    <col min="13831" max="13831" width="18.5703125" style="14" customWidth="1"/>
    <col min="13832" max="13832" width="17.85546875" style="14" customWidth="1"/>
    <col min="13833" max="13855" width="19" style="14" customWidth="1"/>
    <col min="13856" max="14079" width="9.140625" style="14"/>
    <col min="14080" max="14080" width="3.140625" style="14" customWidth="1"/>
    <col min="14081" max="14081" width="4.5703125" style="14" bestFit="1" customWidth="1"/>
    <col min="14082" max="14082" width="28.5703125" style="14" customWidth="1"/>
    <col min="14083" max="14083" width="32.42578125" style="14" customWidth="1"/>
    <col min="14084" max="14084" width="14.85546875" style="14" customWidth="1"/>
    <col min="14085" max="14085" width="15.5703125" style="14" customWidth="1"/>
    <col min="14086" max="14086" width="19.42578125" style="14" customWidth="1"/>
    <col min="14087" max="14087" width="18.5703125" style="14" customWidth="1"/>
    <col min="14088" max="14088" width="17.85546875" style="14" customWidth="1"/>
    <col min="14089" max="14111" width="19" style="14" customWidth="1"/>
    <col min="14112" max="14335" width="9.140625" style="14"/>
    <col min="14336" max="14336" width="3.140625" style="14" customWidth="1"/>
    <col min="14337" max="14337" width="4.5703125" style="14" bestFit="1" customWidth="1"/>
    <col min="14338" max="14338" width="28.5703125" style="14" customWidth="1"/>
    <col min="14339" max="14339" width="32.42578125" style="14" customWidth="1"/>
    <col min="14340" max="14340" width="14.85546875" style="14" customWidth="1"/>
    <col min="14341" max="14341" width="15.5703125" style="14" customWidth="1"/>
    <col min="14342" max="14342" width="19.42578125" style="14" customWidth="1"/>
    <col min="14343" max="14343" width="18.5703125" style="14" customWidth="1"/>
    <col min="14344" max="14344" width="17.85546875" style="14" customWidth="1"/>
    <col min="14345" max="14367" width="19" style="14" customWidth="1"/>
    <col min="14368" max="14591" width="9.140625" style="14"/>
    <col min="14592" max="14592" width="3.140625" style="14" customWidth="1"/>
    <col min="14593" max="14593" width="4.5703125" style="14" bestFit="1" customWidth="1"/>
    <col min="14594" max="14594" width="28.5703125" style="14" customWidth="1"/>
    <col min="14595" max="14595" width="32.42578125" style="14" customWidth="1"/>
    <col min="14596" max="14596" width="14.85546875" style="14" customWidth="1"/>
    <col min="14597" max="14597" width="15.5703125" style="14" customWidth="1"/>
    <col min="14598" max="14598" width="19.42578125" style="14" customWidth="1"/>
    <col min="14599" max="14599" width="18.5703125" style="14" customWidth="1"/>
    <col min="14600" max="14600" width="17.85546875" style="14" customWidth="1"/>
    <col min="14601" max="14623" width="19" style="14" customWidth="1"/>
    <col min="14624" max="14847" width="9.140625" style="14"/>
    <col min="14848" max="14848" width="3.140625" style="14" customWidth="1"/>
    <col min="14849" max="14849" width="4.5703125" style="14" bestFit="1" customWidth="1"/>
    <col min="14850" max="14850" width="28.5703125" style="14" customWidth="1"/>
    <col min="14851" max="14851" width="32.42578125" style="14" customWidth="1"/>
    <col min="14852" max="14852" width="14.85546875" style="14" customWidth="1"/>
    <col min="14853" max="14853" width="15.5703125" style="14" customWidth="1"/>
    <col min="14854" max="14854" width="19.42578125" style="14" customWidth="1"/>
    <col min="14855" max="14855" width="18.5703125" style="14" customWidth="1"/>
    <col min="14856" max="14856" width="17.85546875" style="14" customWidth="1"/>
    <col min="14857" max="14879" width="19" style="14" customWidth="1"/>
    <col min="14880" max="15103" width="9.140625" style="14"/>
    <col min="15104" max="15104" width="3.140625" style="14" customWidth="1"/>
    <col min="15105" max="15105" width="4.5703125" style="14" bestFit="1" customWidth="1"/>
    <col min="15106" max="15106" width="28.5703125" style="14" customWidth="1"/>
    <col min="15107" max="15107" width="32.42578125" style="14" customWidth="1"/>
    <col min="15108" max="15108" width="14.85546875" style="14" customWidth="1"/>
    <col min="15109" max="15109" width="15.5703125" style="14" customWidth="1"/>
    <col min="15110" max="15110" width="19.42578125" style="14" customWidth="1"/>
    <col min="15111" max="15111" width="18.5703125" style="14" customWidth="1"/>
    <col min="15112" max="15112" width="17.85546875" style="14" customWidth="1"/>
    <col min="15113" max="15135" width="19" style="14" customWidth="1"/>
    <col min="15136" max="15359" width="9.140625" style="14"/>
    <col min="15360" max="15360" width="3.140625" style="14" customWidth="1"/>
    <col min="15361" max="15361" width="4.5703125" style="14" bestFit="1" customWidth="1"/>
    <col min="15362" max="15362" width="28.5703125" style="14" customWidth="1"/>
    <col min="15363" max="15363" width="32.42578125" style="14" customWidth="1"/>
    <col min="15364" max="15364" width="14.85546875" style="14" customWidth="1"/>
    <col min="15365" max="15365" width="15.5703125" style="14" customWidth="1"/>
    <col min="15366" max="15366" width="19.42578125" style="14" customWidth="1"/>
    <col min="15367" max="15367" width="18.5703125" style="14" customWidth="1"/>
    <col min="15368" max="15368" width="17.85546875" style="14" customWidth="1"/>
    <col min="15369" max="15391" width="19" style="14" customWidth="1"/>
    <col min="15392" max="15615" width="9.140625" style="14"/>
    <col min="15616" max="15616" width="3.140625" style="14" customWidth="1"/>
    <col min="15617" max="15617" width="4.5703125" style="14" bestFit="1" customWidth="1"/>
    <col min="15618" max="15618" width="28.5703125" style="14" customWidth="1"/>
    <col min="15619" max="15619" width="32.42578125" style="14" customWidth="1"/>
    <col min="15620" max="15620" width="14.85546875" style="14" customWidth="1"/>
    <col min="15621" max="15621" width="15.5703125" style="14" customWidth="1"/>
    <col min="15622" max="15622" width="19.42578125" style="14" customWidth="1"/>
    <col min="15623" max="15623" width="18.5703125" style="14" customWidth="1"/>
    <col min="15624" max="15624" width="17.85546875" style="14" customWidth="1"/>
    <col min="15625" max="15647" width="19" style="14" customWidth="1"/>
    <col min="15648" max="15871" width="9.140625" style="14"/>
    <col min="15872" max="15872" width="3.140625" style="14" customWidth="1"/>
    <col min="15873" max="15873" width="4.5703125" style="14" bestFit="1" customWidth="1"/>
    <col min="15874" max="15874" width="28.5703125" style="14" customWidth="1"/>
    <col min="15875" max="15875" width="32.42578125" style="14" customWidth="1"/>
    <col min="15876" max="15876" width="14.85546875" style="14" customWidth="1"/>
    <col min="15877" max="15877" width="15.5703125" style="14" customWidth="1"/>
    <col min="15878" max="15878" width="19.42578125" style="14" customWidth="1"/>
    <col min="15879" max="15879" width="18.5703125" style="14" customWidth="1"/>
    <col min="15880" max="15880" width="17.85546875" style="14" customWidth="1"/>
    <col min="15881" max="15903" width="19" style="14" customWidth="1"/>
    <col min="15904" max="16127" width="9.140625" style="14"/>
    <col min="16128" max="16128" width="3.140625" style="14" customWidth="1"/>
    <col min="16129" max="16129" width="4.5703125" style="14" bestFit="1" customWidth="1"/>
    <col min="16130" max="16130" width="28.5703125" style="14" customWidth="1"/>
    <col min="16131" max="16131" width="32.42578125" style="14" customWidth="1"/>
    <col min="16132" max="16132" width="14.85546875" style="14" customWidth="1"/>
    <col min="16133" max="16133" width="15.5703125" style="14" customWidth="1"/>
    <col min="16134" max="16134" width="19.42578125" style="14" customWidth="1"/>
    <col min="16135" max="16135" width="18.5703125" style="14" customWidth="1"/>
    <col min="16136" max="16136" width="17.85546875" style="14" customWidth="1"/>
    <col min="16137" max="16159" width="19" style="14" customWidth="1"/>
    <col min="16160" max="16384" width="9.140625" style="14"/>
  </cols>
  <sheetData>
    <row r="1" spans="1:9" ht="48.75" customHeight="1" x14ac:dyDescent="0.2">
      <c r="A1" s="79" t="s">
        <v>159</v>
      </c>
      <c r="B1" s="79" t="s">
        <v>117</v>
      </c>
      <c r="C1" s="79" t="s">
        <v>118</v>
      </c>
      <c r="D1" s="79" t="s">
        <v>160</v>
      </c>
      <c r="E1" s="79" t="s">
        <v>135</v>
      </c>
      <c r="F1" s="79" t="s">
        <v>120</v>
      </c>
      <c r="G1" s="79" t="s">
        <v>121</v>
      </c>
      <c r="H1" s="79" t="s">
        <v>304</v>
      </c>
      <c r="I1" s="91"/>
    </row>
    <row r="2" spans="1:9" ht="15" customHeight="1" x14ac:dyDescent="0.2">
      <c r="A2" s="107" t="s">
        <v>161</v>
      </c>
      <c r="B2" s="108"/>
      <c r="C2" s="108"/>
      <c r="D2" s="108"/>
      <c r="E2" s="108"/>
      <c r="F2" s="108"/>
      <c r="G2" s="108"/>
      <c r="H2" s="108"/>
      <c r="I2" s="91"/>
    </row>
    <row r="3" spans="1:9" x14ac:dyDescent="0.2">
      <c r="A3" s="111" t="s">
        <v>289</v>
      </c>
      <c r="B3" s="112">
        <f>+B4+B12+B14</f>
        <v>0</v>
      </c>
      <c r="C3" s="112">
        <f t="shared" ref="C3:H3" si="0">+C4+C12+C14</f>
        <v>0</v>
      </c>
      <c r="D3" s="112">
        <f t="shared" si="0"/>
        <v>0</v>
      </c>
      <c r="E3" s="112">
        <f t="shared" si="0"/>
        <v>0</v>
      </c>
      <c r="F3" s="112">
        <f t="shared" si="0"/>
        <v>0</v>
      </c>
      <c r="G3" s="112">
        <f t="shared" si="0"/>
        <v>0</v>
      </c>
      <c r="H3" s="112">
        <f t="shared" si="0"/>
        <v>0</v>
      </c>
      <c r="I3" s="91"/>
    </row>
    <row r="4" spans="1:9" ht="12" customHeight="1" x14ac:dyDescent="0.2">
      <c r="A4" s="97" t="s">
        <v>162</v>
      </c>
      <c r="B4" s="96">
        <f>+B5+B10+B11</f>
        <v>0</v>
      </c>
      <c r="C4" s="96">
        <f t="shared" ref="C4:H4" si="1">+C5+C10+C11</f>
        <v>0</v>
      </c>
      <c r="D4" s="96">
        <f t="shared" si="1"/>
        <v>0</v>
      </c>
      <c r="E4" s="96">
        <f t="shared" si="1"/>
        <v>0</v>
      </c>
      <c r="F4" s="96">
        <f t="shared" si="1"/>
        <v>0</v>
      </c>
      <c r="G4" s="96">
        <f t="shared" si="1"/>
        <v>0</v>
      </c>
      <c r="H4" s="96">
        <f t="shared" si="1"/>
        <v>0</v>
      </c>
      <c r="I4" s="91"/>
    </row>
    <row r="5" spans="1:9" x14ac:dyDescent="0.2">
      <c r="A5" s="109" t="s">
        <v>163</v>
      </c>
      <c r="B5" s="110">
        <f>+B6+B7+B8+B9</f>
        <v>0</v>
      </c>
      <c r="C5" s="110">
        <f t="shared" ref="C5:H5" si="2">+C6+C7+C8+C9</f>
        <v>0</v>
      </c>
      <c r="D5" s="110">
        <f t="shared" si="2"/>
        <v>0</v>
      </c>
      <c r="E5" s="110">
        <f t="shared" si="2"/>
        <v>0</v>
      </c>
      <c r="F5" s="110">
        <f t="shared" si="2"/>
        <v>0</v>
      </c>
      <c r="G5" s="110">
        <f t="shared" si="2"/>
        <v>0</v>
      </c>
      <c r="H5" s="110">
        <f t="shared" si="2"/>
        <v>0</v>
      </c>
      <c r="I5" s="91"/>
    </row>
    <row r="6" spans="1:9" x14ac:dyDescent="0.2">
      <c r="A6" s="98" t="s">
        <v>164</v>
      </c>
      <c r="B6" s="99"/>
      <c r="C6" s="99"/>
      <c r="D6" s="99"/>
      <c r="E6" s="99"/>
      <c r="F6" s="99"/>
      <c r="G6" s="99"/>
      <c r="H6" s="99"/>
      <c r="I6" s="91"/>
    </row>
    <row r="7" spans="1:9" x14ac:dyDescent="0.2">
      <c r="A7" s="98" t="s">
        <v>165</v>
      </c>
      <c r="B7" s="99"/>
      <c r="C7" s="99"/>
      <c r="D7" s="99"/>
      <c r="E7" s="99"/>
      <c r="F7" s="99"/>
      <c r="G7" s="99"/>
      <c r="H7" s="99"/>
      <c r="I7" s="91"/>
    </row>
    <row r="8" spans="1:9" x14ac:dyDescent="0.2">
      <c r="A8" s="98" t="s">
        <v>166</v>
      </c>
      <c r="B8" s="99"/>
      <c r="C8" s="99"/>
      <c r="D8" s="99"/>
      <c r="E8" s="99"/>
      <c r="F8" s="99"/>
      <c r="G8" s="99"/>
      <c r="H8" s="99"/>
      <c r="I8" s="91"/>
    </row>
    <row r="9" spans="1:9" x14ac:dyDescent="0.2">
      <c r="A9" s="98" t="s">
        <v>167</v>
      </c>
      <c r="B9" s="99"/>
      <c r="C9" s="99"/>
      <c r="D9" s="99"/>
      <c r="E9" s="99"/>
      <c r="F9" s="99"/>
      <c r="G9" s="99"/>
      <c r="H9" s="99"/>
      <c r="I9" s="100"/>
    </row>
    <row r="10" spans="1:9" x14ac:dyDescent="0.2">
      <c r="A10" s="109" t="s">
        <v>168</v>
      </c>
      <c r="B10" s="110"/>
      <c r="C10" s="110"/>
      <c r="D10" s="110"/>
      <c r="E10" s="110"/>
      <c r="F10" s="110"/>
      <c r="G10" s="110"/>
      <c r="H10" s="110"/>
      <c r="I10" s="91"/>
    </row>
    <row r="11" spans="1:9" x14ac:dyDescent="0.2">
      <c r="A11" s="109" t="s">
        <v>169</v>
      </c>
      <c r="B11" s="110"/>
      <c r="C11" s="110"/>
      <c r="D11" s="110"/>
      <c r="E11" s="110"/>
      <c r="F11" s="110"/>
      <c r="G11" s="110"/>
      <c r="H11" s="110"/>
      <c r="I11" s="91"/>
    </row>
    <row r="12" spans="1:9" x14ac:dyDescent="0.2">
      <c r="A12" s="97" t="s">
        <v>170</v>
      </c>
      <c r="B12" s="96">
        <f>+B13</f>
        <v>0</v>
      </c>
      <c r="C12" s="96">
        <f t="shared" ref="C12:H12" si="3">+C13</f>
        <v>0</v>
      </c>
      <c r="D12" s="96">
        <f t="shared" si="3"/>
        <v>0</v>
      </c>
      <c r="E12" s="96">
        <f t="shared" si="3"/>
        <v>0</v>
      </c>
      <c r="F12" s="96">
        <f t="shared" si="3"/>
        <v>0</v>
      </c>
      <c r="G12" s="96">
        <f t="shared" si="3"/>
        <v>0</v>
      </c>
      <c r="H12" s="96">
        <f t="shared" si="3"/>
        <v>0</v>
      </c>
      <c r="I12" s="91"/>
    </row>
    <row r="13" spans="1:9" x14ac:dyDescent="0.2">
      <c r="A13" s="101" t="s">
        <v>171</v>
      </c>
      <c r="B13" s="99"/>
      <c r="C13" s="99"/>
      <c r="D13" s="99"/>
      <c r="E13" s="99"/>
      <c r="F13" s="99"/>
      <c r="G13" s="99"/>
      <c r="H13" s="99"/>
      <c r="I13" s="91"/>
    </row>
    <row r="14" spans="1:9" x14ac:dyDescent="0.2">
      <c r="A14" s="97" t="s">
        <v>333</v>
      </c>
      <c r="B14" s="96">
        <f>+SUM(B15:B16)</f>
        <v>0</v>
      </c>
      <c r="C14" s="96">
        <f t="shared" ref="C14:H14" si="4">+SUM(C15:C16)</f>
        <v>0</v>
      </c>
      <c r="D14" s="96">
        <f t="shared" si="4"/>
        <v>0</v>
      </c>
      <c r="E14" s="96">
        <f t="shared" si="4"/>
        <v>0</v>
      </c>
      <c r="F14" s="96">
        <f t="shared" si="4"/>
        <v>0</v>
      </c>
      <c r="G14" s="96">
        <f t="shared" si="4"/>
        <v>0</v>
      </c>
      <c r="H14" s="96">
        <f t="shared" si="4"/>
        <v>0</v>
      </c>
      <c r="I14" s="91"/>
    </row>
    <row r="15" spans="1:9" x14ac:dyDescent="0.2">
      <c r="A15" s="101" t="s">
        <v>172</v>
      </c>
      <c r="B15" s="99"/>
      <c r="C15" s="99"/>
      <c r="D15" s="99"/>
      <c r="E15" s="99"/>
      <c r="F15" s="99"/>
      <c r="G15" s="99"/>
      <c r="H15" s="99"/>
      <c r="I15" s="91"/>
    </row>
    <row r="16" spans="1:9" x14ac:dyDescent="0.2">
      <c r="A16" s="101" t="s">
        <v>173</v>
      </c>
      <c r="B16" s="99"/>
      <c r="C16" s="99"/>
      <c r="D16" s="99"/>
      <c r="E16" s="99"/>
      <c r="F16" s="99"/>
      <c r="G16" s="99"/>
      <c r="H16" s="99"/>
      <c r="I16" s="91"/>
    </row>
    <row r="17" spans="1:9" x14ac:dyDescent="0.2">
      <c r="A17" s="204" t="s">
        <v>174</v>
      </c>
      <c r="B17" s="113"/>
      <c r="C17" s="113"/>
      <c r="D17" s="113"/>
      <c r="E17" s="113"/>
      <c r="F17" s="113"/>
      <c r="G17" s="113"/>
      <c r="H17" s="113"/>
      <c r="I17" s="91"/>
    </row>
    <row r="18" spans="1:9" x14ac:dyDescent="0.2">
      <c r="A18" s="114" t="s">
        <v>175</v>
      </c>
      <c r="B18" s="113"/>
      <c r="C18" s="113"/>
      <c r="D18" s="113"/>
      <c r="E18" s="113"/>
      <c r="F18" s="113"/>
      <c r="G18" s="113"/>
      <c r="H18" s="113"/>
      <c r="I18" s="91"/>
    </row>
    <row r="19" spans="1:9" x14ac:dyDescent="0.2">
      <c r="A19" s="204" t="s">
        <v>334</v>
      </c>
      <c r="B19" s="113"/>
      <c r="C19" s="113"/>
      <c r="D19" s="113"/>
      <c r="E19" s="113"/>
      <c r="F19" s="113"/>
      <c r="G19" s="113"/>
      <c r="H19" s="113"/>
      <c r="I19" s="91"/>
    </row>
    <row r="20" spans="1:9" x14ac:dyDescent="0.2">
      <c r="A20" s="107" t="s">
        <v>290</v>
      </c>
      <c r="B20" s="108">
        <f>+B21</f>
        <v>0</v>
      </c>
      <c r="C20" s="108">
        <f t="shared" ref="C20:H20" si="5">+C21</f>
        <v>0</v>
      </c>
      <c r="D20" s="108">
        <f t="shared" si="5"/>
        <v>0</v>
      </c>
      <c r="E20" s="108">
        <f t="shared" si="5"/>
        <v>0</v>
      </c>
      <c r="F20" s="108">
        <f t="shared" si="5"/>
        <v>0</v>
      </c>
      <c r="G20" s="108">
        <f t="shared" si="5"/>
        <v>0</v>
      </c>
      <c r="H20" s="108">
        <f t="shared" si="5"/>
        <v>0</v>
      </c>
      <c r="I20" s="91"/>
    </row>
    <row r="21" spans="1:9" x14ac:dyDescent="0.2">
      <c r="A21" s="101" t="s">
        <v>176</v>
      </c>
      <c r="B21" s="99"/>
      <c r="C21" s="99"/>
      <c r="D21" s="99"/>
      <c r="E21" s="99"/>
      <c r="F21" s="99"/>
      <c r="G21" s="99"/>
      <c r="H21" s="99"/>
      <c r="I21" s="91"/>
    </row>
    <row r="22" spans="1:9" s="95" customFormat="1" x14ac:dyDescent="0.2">
      <c r="A22" s="92" t="s">
        <v>177</v>
      </c>
      <c r="B22" s="93">
        <f t="shared" ref="B22:H22" si="6">+B3+B17+B19+B18+B20</f>
        <v>0</v>
      </c>
      <c r="C22" s="93">
        <f t="shared" si="6"/>
        <v>0</v>
      </c>
      <c r="D22" s="93">
        <f t="shared" si="6"/>
        <v>0</v>
      </c>
      <c r="E22" s="93">
        <f t="shared" si="6"/>
        <v>0</v>
      </c>
      <c r="F22" s="93">
        <f t="shared" si="6"/>
        <v>0</v>
      </c>
      <c r="G22" s="93">
        <f t="shared" si="6"/>
        <v>0</v>
      </c>
      <c r="H22" s="93">
        <f t="shared" si="6"/>
        <v>0</v>
      </c>
      <c r="I22" s="94"/>
    </row>
    <row r="23" spans="1:9" x14ac:dyDescent="0.2">
      <c r="A23" s="102"/>
      <c r="B23" s="103"/>
      <c r="C23" s="103"/>
      <c r="D23" s="103"/>
      <c r="E23" s="103"/>
      <c r="F23" s="103"/>
      <c r="G23" s="103"/>
      <c r="H23" s="103"/>
      <c r="I23" s="91"/>
    </row>
    <row r="24" spans="1:9" x14ac:dyDescent="0.2">
      <c r="A24" s="104" t="s">
        <v>288</v>
      </c>
      <c r="B24" s="105"/>
      <c r="C24" s="105"/>
      <c r="D24" s="105"/>
      <c r="E24" s="105"/>
      <c r="F24" s="105"/>
      <c r="G24" s="105"/>
      <c r="H24" s="105"/>
      <c r="I24" s="91"/>
    </row>
    <row r="25" spans="1:9" x14ac:dyDescent="0.2">
      <c r="A25" s="106"/>
    </row>
    <row r="26" spans="1:9" x14ac:dyDescent="0.2">
      <c r="A26" s="9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"/>
  <sheetViews>
    <sheetView showGridLines="0" topLeftCell="A17" zoomScaleNormal="100" workbookViewId="0">
      <selection activeCell="A24" sqref="A24:XFD25"/>
    </sheetView>
  </sheetViews>
  <sheetFormatPr baseColWidth="10" defaultColWidth="9.140625" defaultRowHeight="12.75" x14ac:dyDescent="0.2"/>
  <cols>
    <col min="1" max="1" width="69" style="14" customWidth="1"/>
    <col min="2" max="2" width="18.42578125" style="14" customWidth="1"/>
    <col min="3" max="3" width="18.85546875" style="14" customWidth="1"/>
    <col min="4" max="4" width="18.5703125" style="14" customWidth="1"/>
    <col min="5" max="6" width="16.85546875" style="14" customWidth="1"/>
    <col min="7" max="7" width="17" style="14" customWidth="1"/>
    <col min="8" max="8" width="18.42578125" style="14" customWidth="1"/>
    <col min="9" max="9" width="4.140625" style="14" customWidth="1"/>
    <col min="10" max="30" width="19" style="14" customWidth="1"/>
    <col min="31" max="254" width="9.140625" style="14"/>
    <col min="255" max="255" width="3.140625" style="14" customWidth="1"/>
    <col min="256" max="256" width="4.5703125" style="14" bestFit="1" customWidth="1"/>
    <col min="257" max="257" width="28.5703125" style="14" customWidth="1"/>
    <col min="258" max="258" width="32.42578125" style="14" customWidth="1"/>
    <col min="259" max="259" width="14.85546875" style="14" customWidth="1"/>
    <col min="260" max="260" width="15.5703125" style="14" customWidth="1"/>
    <col min="261" max="261" width="19.42578125" style="14" customWidth="1"/>
    <col min="262" max="262" width="18.5703125" style="14" customWidth="1"/>
    <col min="263" max="263" width="17.85546875" style="14" customWidth="1"/>
    <col min="264" max="286" width="19" style="14" customWidth="1"/>
    <col min="287" max="510" width="9.140625" style="14"/>
    <col min="511" max="511" width="3.140625" style="14" customWidth="1"/>
    <col min="512" max="512" width="4.5703125" style="14" bestFit="1" customWidth="1"/>
    <col min="513" max="513" width="28.5703125" style="14" customWidth="1"/>
    <col min="514" max="514" width="32.42578125" style="14" customWidth="1"/>
    <col min="515" max="515" width="14.85546875" style="14" customWidth="1"/>
    <col min="516" max="516" width="15.5703125" style="14" customWidth="1"/>
    <col min="517" max="517" width="19.42578125" style="14" customWidth="1"/>
    <col min="518" max="518" width="18.5703125" style="14" customWidth="1"/>
    <col min="519" max="519" width="17.85546875" style="14" customWidth="1"/>
    <col min="520" max="542" width="19" style="14" customWidth="1"/>
    <col min="543" max="766" width="9.140625" style="14"/>
    <col min="767" max="767" width="3.140625" style="14" customWidth="1"/>
    <col min="768" max="768" width="4.5703125" style="14" bestFit="1" customWidth="1"/>
    <col min="769" max="769" width="28.5703125" style="14" customWidth="1"/>
    <col min="770" max="770" width="32.42578125" style="14" customWidth="1"/>
    <col min="771" max="771" width="14.85546875" style="14" customWidth="1"/>
    <col min="772" max="772" width="15.5703125" style="14" customWidth="1"/>
    <col min="773" max="773" width="19.42578125" style="14" customWidth="1"/>
    <col min="774" max="774" width="18.5703125" style="14" customWidth="1"/>
    <col min="775" max="775" width="17.85546875" style="14" customWidth="1"/>
    <col min="776" max="798" width="19" style="14" customWidth="1"/>
    <col min="799" max="1022" width="9.140625" style="14"/>
    <col min="1023" max="1023" width="3.140625" style="14" customWidth="1"/>
    <col min="1024" max="1024" width="4.5703125" style="14" bestFit="1" customWidth="1"/>
    <col min="1025" max="1025" width="28.5703125" style="14" customWidth="1"/>
    <col min="1026" max="1026" width="32.42578125" style="14" customWidth="1"/>
    <col min="1027" max="1027" width="14.85546875" style="14" customWidth="1"/>
    <col min="1028" max="1028" width="15.5703125" style="14" customWidth="1"/>
    <col min="1029" max="1029" width="19.42578125" style="14" customWidth="1"/>
    <col min="1030" max="1030" width="18.5703125" style="14" customWidth="1"/>
    <col min="1031" max="1031" width="17.85546875" style="14" customWidth="1"/>
    <col min="1032" max="1054" width="19" style="14" customWidth="1"/>
    <col min="1055" max="1278" width="9.140625" style="14"/>
    <col min="1279" max="1279" width="3.140625" style="14" customWidth="1"/>
    <col min="1280" max="1280" width="4.5703125" style="14" bestFit="1" customWidth="1"/>
    <col min="1281" max="1281" width="28.5703125" style="14" customWidth="1"/>
    <col min="1282" max="1282" width="32.42578125" style="14" customWidth="1"/>
    <col min="1283" max="1283" width="14.85546875" style="14" customWidth="1"/>
    <col min="1284" max="1284" width="15.5703125" style="14" customWidth="1"/>
    <col min="1285" max="1285" width="19.42578125" style="14" customWidth="1"/>
    <col min="1286" max="1286" width="18.5703125" style="14" customWidth="1"/>
    <col min="1287" max="1287" width="17.85546875" style="14" customWidth="1"/>
    <col min="1288" max="1310" width="19" style="14" customWidth="1"/>
    <col min="1311" max="1534" width="9.140625" style="14"/>
    <col min="1535" max="1535" width="3.140625" style="14" customWidth="1"/>
    <col min="1536" max="1536" width="4.5703125" style="14" bestFit="1" customWidth="1"/>
    <col min="1537" max="1537" width="28.5703125" style="14" customWidth="1"/>
    <col min="1538" max="1538" width="32.42578125" style="14" customWidth="1"/>
    <col min="1539" max="1539" width="14.85546875" style="14" customWidth="1"/>
    <col min="1540" max="1540" width="15.5703125" style="14" customWidth="1"/>
    <col min="1541" max="1541" width="19.42578125" style="14" customWidth="1"/>
    <col min="1542" max="1542" width="18.5703125" style="14" customWidth="1"/>
    <col min="1543" max="1543" width="17.85546875" style="14" customWidth="1"/>
    <col min="1544" max="1566" width="19" style="14" customWidth="1"/>
    <col min="1567" max="1790" width="9.140625" style="14"/>
    <col min="1791" max="1791" width="3.140625" style="14" customWidth="1"/>
    <col min="1792" max="1792" width="4.5703125" style="14" bestFit="1" customWidth="1"/>
    <col min="1793" max="1793" width="28.5703125" style="14" customWidth="1"/>
    <col min="1794" max="1794" width="32.42578125" style="14" customWidth="1"/>
    <col min="1795" max="1795" width="14.85546875" style="14" customWidth="1"/>
    <col min="1796" max="1796" width="15.5703125" style="14" customWidth="1"/>
    <col min="1797" max="1797" width="19.42578125" style="14" customWidth="1"/>
    <col min="1798" max="1798" width="18.5703125" style="14" customWidth="1"/>
    <col min="1799" max="1799" width="17.85546875" style="14" customWidth="1"/>
    <col min="1800" max="1822" width="19" style="14" customWidth="1"/>
    <col min="1823" max="2046" width="9.140625" style="14"/>
    <col min="2047" max="2047" width="3.140625" style="14" customWidth="1"/>
    <col min="2048" max="2048" width="4.5703125" style="14" bestFit="1" customWidth="1"/>
    <col min="2049" max="2049" width="28.5703125" style="14" customWidth="1"/>
    <col min="2050" max="2050" width="32.42578125" style="14" customWidth="1"/>
    <col min="2051" max="2051" width="14.85546875" style="14" customWidth="1"/>
    <col min="2052" max="2052" width="15.5703125" style="14" customWidth="1"/>
    <col min="2053" max="2053" width="19.42578125" style="14" customWidth="1"/>
    <col min="2054" max="2054" width="18.5703125" style="14" customWidth="1"/>
    <col min="2055" max="2055" width="17.85546875" style="14" customWidth="1"/>
    <col min="2056" max="2078" width="19" style="14" customWidth="1"/>
    <col min="2079" max="2302" width="9.140625" style="14"/>
    <col min="2303" max="2303" width="3.140625" style="14" customWidth="1"/>
    <col min="2304" max="2304" width="4.5703125" style="14" bestFit="1" customWidth="1"/>
    <col min="2305" max="2305" width="28.5703125" style="14" customWidth="1"/>
    <col min="2306" max="2306" width="32.42578125" style="14" customWidth="1"/>
    <col min="2307" max="2307" width="14.85546875" style="14" customWidth="1"/>
    <col min="2308" max="2308" width="15.5703125" style="14" customWidth="1"/>
    <col min="2309" max="2309" width="19.42578125" style="14" customWidth="1"/>
    <col min="2310" max="2310" width="18.5703125" style="14" customWidth="1"/>
    <col min="2311" max="2311" width="17.85546875" style="14" customWidth="1"/>
    <col min="2312" max="2334" width="19" style="14" customWidth="1"/>
    <col min="2335" max="2558" width="9.140625" style="14"/>
    <col min="2559" max="2559" width="3.140625" style="14" customWidth="1"/>
    <col min="2560" max="2560" width="4.5703125" style="14" bestFit="1" customWidth="1"/>
    <col min="2561" max="2561" width="28.5703125" style="14" customWidth="1"/>
    <col min="2562" max="2562" width="32.42578125" style="14" customWidth="1"/>
    <col min="2563" max="2563" width="14.85546875" style="14" customWidth="1"/>
    <col min="2564" max="2564" width="15.5703125" style="14" customWidth="1"/>
    <col min="2565" max="2565" width="19.42578125" style="14" customWidth="1"/>
    <col min="2566" max="2566" width="18.5703125" style="14" customWidth="1"/>
    <col min="2567" max="2567" width="17.85546875" style="14" customWidth="1"/>
    <col min="2568" max="2590" width="19" style="14" customWidth="1"/>
    <col min="2591" max="2814" width="9.140625" style="14"/>
    <col min="2815" max="2815" width="3.140625" style="14" customWidth="1"/>
    <col min="2816" max="2816" width="4.5703125" style="14" bestFit="1" customWidth="1"/>
    <col min="2817" max="2817" width="28.5703125" style="14" customWidth="1"/>
    <col min="2818" max="2818" width="32.42578125" style="14" customWidth="1"/>
    <col min="2819" max="2819" width="14.85546875" style="14" customWidth="1"/>
    <col min="2820" max="2820" width="15.5703125" style="14" customWidth="1"/>
    <col min="2821" max="2821" width="19.42578125" style="14" customWidth="1"/>
    <col min="2822" max="2822" width="18.5703125" style="14" customWidth="1"/>
    <col min="2823" max="2823" width="17.85546875" style="14" customWidth="1"/>
    <col min="2824" max="2846" width="19" style="14" customWidth="1"/>
    <col min="2847" max="3070" width="9.140625" style="14"/>
    <col min="3071" max="3071" width="3.140625" style="14" customWidth="1"/>
    <col min="3072" max="3072" width="4.5703125" style="14" bestFit="1" customWidth="1"/>
    <col min="3073" max="3073" width="28.5703125" style="14" customWidth="1"/>
    <col min="3074" max="3074" width="32.42578125" style="14" customWidth="1"/>
    <col min="3075" max="3075" width="14.85546875" style="14" customWidth="1"/>
    <col min="3076" max="3076" width="15.5703125" style="14" customWidth="1"/>
    <col min="3077" max="3077" width="19.42578125" style="14" customWidth="1"/>
    <col min="3078" max="3078" width="18.5703125" style="14" customWidth="1"/>
    <col min="3079" max="3079" width="17.85546875" style="14" customWidth="1"/>
    <col min="3080" max="3102" width="19" style="14" customWidth="1"/>
    <col min="3103" max="3326" width="9.140625" style="14"/>
    <col min="3327" max="3327" width="3.140625" style="14" customWidth="1"/>
    <col min="3328" max="3328" width="4.5703125" style="14" bestFit="1" customWidth="1"/>
    <col min="3329" max="3329" width="28.5703125" style="14" customWidth="1"/>
    <col min="3330" max="3330" width="32.42578125" style="14" customWidth="1"/>
    <col min="3331" max="3331" width="14.85546875" style="14" customWidth="1"/>
    <col min="3332" max="3332" width="15.5703125" style="14" customWidth="1"/>
    <col min="3333" max="3333" width="19.42578125" style="14" customWidth="1"/>
    <col min="3334" max="3334" width="18.5703125" style="14" customWidth="1"/>
    <col min="3335" max="3335" width="17.85546875" style="14" customWidth="1"/>
    <col min="3336" max="3358" width="19" style="14" customWidth="1"/>
    <col min="3359" max="3582" width="9.140625" style="14"/>
    <col min="3583" max="3583" width="3.140625" style="14" customWidth="1"/>
    <col min="3584" max="3584" width="4.5703125" style="14" bestFit="1" customWidth="1"/>
    <col min="3585" max="3585" width="28.5703125" style="14" customWidth="1"/>
    <col min="3586" max="3586" width="32.42578125" style="14" customWidth="1"/>
    <col min="3587" max="3587" width="14.85546875" style="14" customWidth="1"/>
    <col min="3588" max="3588" width="15.5703125" style="14" customWidth="1"/>
    <col min="3589" max="3589" width="19.42578125" style="14" customWidth="1"/>
    <col min="3590" max="3590" width="18.5703125" style="14" customWidth="1"/>
    <col min="3591" max="3591" width="17.85546875" style="14" customWidth="1"/>
    <col min="3592" max="3614" width="19" style="14" customWidth="1"/>
    <col min="3615" max="3838" width="9.140625" style="14"/>
    <col min="3839" max="3839" width="3.140625" style="14" customWidth="1"/>
    <col min="3840" max="3840" width="4.5703125" style="14" bestFit="1" customWidth="1"/>
    <col min="3841" max="3841" width="28.5703125" style="14" customWidth="1"/>
    <col min="3842" max="3842" width="32.42578125" style="14" customWidth="1"/>
    <col min="3843" max="3843" width="14.85546875" style="14" customWidth="1"/>
    <col min="3844" max="3844" width="15.5703125" style="14" customWidth="1"/>
    <col min="3845" max="3845" width="19.42578125" style="14" customWidth="1"/>
    <col min="3846" max="3846" width="18.5703125" style="14" customWidth="1"/>
    <col min="3847" max="3847" width="17.85546875" style="14" customWidth="1"/>
    <col min="3848" max="3870" width="19" style="14" customWidth="1"/>
    <col min="3871" max="4094" width="9.140625" style="14"/>
    <col min="4095" max="4095" width="3.140625" style="14" customWidth="1"/>
    <col min="4096" max="4096" width="4.5703125" style="14" bestFit="1" customWidth="1"/>
    <col min="4097" max="4097" width="28.5703125" style="14" customWidth="1"/>
    <col min="4098" max="4098" width="32.42578125" style="14" customWidth="1"/>
    <col min="4099" max="4099" width="14.85546875" style="14" customWidth="1"/>
    <col min="4100" max="4100" width="15.5703125" style="14" customWidth="1"/>
    <col min="4101" max="4101" width="19.42578125" style="14" customWidth="1"/>
    <col min="4102" max="4102" width="18.5703125" style="14" customWidth="1"/>
    <col min="4103" max="4103" width="17.85546875" style="14" customWidth="1"/>
    <col min="4104" max="4126" width="19" style="14" customWidth="1"/>
    <col min="4127" max="4350" width="9.140625" style="14"/>
    <col min="4351" max="4351" width="3.140625" style="14" customWidth="1"/>
    <col min="4352" max="4352" width="4.5703125" style="14" bestFit="1" customWidth="1"/>
    <col min="4353" max="4353" width="28.5703125" style="14" customWidth="1"/>
    <col min="4354" max="4354" width="32.42578125" style="14" customWidth="1"/>
    <col min="4355" max="4355" width="14.85546875" style="14" customWidth="1"/>
    <col min="4356" max="4356" width="15.5703125" style="14" customWidth="1"/>
    <col min="4357" max="4357" width="19.42578125" style="14" customWidth="1"/>
    <col min="4358" max="4358" width="18.5703125" style="14" customWidth="1"/>
    <col min="4359" max="4359" width="17.85546875" style="14" customWidth="1"/>
    <col min="4360" max="4382" width="19" style="14" customWidth="1"/>
    <col min="4383" max="4606" width="9.140625" style="14"/>
    <col min="4607" max="4607" width="3.140625" style="14" customWidth="1"/>
    <col min="4608" max="4608" width="4.5703125" style="14" bestFit="1" customWidth="1"/>
    <col min="4609" max="4609" width="28.5703125" style="14" customWidth="1"/>
    <col min="4610" max="4610" width="32.42578125" style="14" customWidth="1"/>
    <col min="4611" max="4611" width="14.85546875" style="14" customWidth="1"/>
    <col min="4612" max="4612" width="15.5703125" style="14" customWidth="1"/>
    <col min="4613" max="4613" width="19.42578125" style="14" customWidth="1"/>
    <col min="4614" max="4614" width="18.5703125" style="14" customWidth="1"/>
    <col min="4615" max="4615" width="17.85546875" style="14" customWidth="1"/>
    <col min="4616" max="4638" width="19" style="14" customWidth="1"/>
    <col min="4639" max="4862" width="9.140625" style="14"/>
    <col min="4863" max="4863" width="3.140625" style="14" customWidth="1"/>
    <col min="4864" max="4864" width="4.5703125" style="14" bestFit="1" customWidth="1"/>
    <col min="4865" max="4865" width="28.5703125" style="14" customWidth="1"/>
    <col min="4866" max="4866" width="32.42578125" style="14" customWidth="1"/>
    <col min="4867" max="4867" width="14.85546875" style="14" customWidth="1"/>
    <col min="4868" max="4868" width="15.5703125" style="14" customWidth="1"/>
    <col min="4869" max="4869" width="19.42578125" style="14" customWidth="1"/>
    <col min="4870" max="4870" width="18.5703125" style="14" customWidth="1"/>
    <col min="4871" max="4871" width="17.85546875" style="14" customWidth="1"/>
    <col min="4872" max="4894" width="19" style="14" customWidth="1"/>
    <col min="4895" max="5118" width="9.140625" style="14"/>
    <col min="5119" max="5119" width="3.140625" style="14" customWidth="1"/>
    <col min="5120" max="5120" width="4.5703125" style="14" bestFit="1" customWidth="1"/>
    <col min="5121" max="5121" width="28.5703125" style="14" customWidth="1"/>
    <col min="5122" max="5122" width="32.42578125" style="14" customWidth="1"/>
    <col min="5123" max="5123" width="14.85546875" style="14" customWidth="1"/>
    <col min="5124" max="5124" width="15.5703125" style="14" customWidth="1"/>
    <col min="5125" max="5125" width="19.42578125" style="14" customWidth="1"/>
    <col min="5126" max="5126" width="18.5703125" style="14" customWidth="1"/>
    <col min="5127" max="5127" width="17.85546875" style="14" customWidth="1"/>
    <col min="5128" max="5150" width="19" style="14" customWidth="1"/>
    <col min="5151" max="5374" width="9.140625" style="14"/>
    <col min="5375" max="5375" width="3.140625" style="14" customWidth="1"/>
    <col min="5376" max="5376" width="4.5703125" style="14" bestFit="1" customWidth="1"/>
    <col min="5377" max="5377" width="28.5703125" style="14" customWidth="1"/>
    <col min="5378" max="5378" width="32.42578125" style="14" customWidth="1"/>
    <col min="5379" max="5379" width="14.85546875" style="14" customWidth="1"/>
    <col min="5380" max="5380" width="15.5703125" style="14" customWidth="1"/>
    <col min="5381" max="5381" width="19.42578125" style="14" customWidth="1"/>
    <col min="5382" max="5382" width="18.5703125" style="14" customWidth="1"/>
    <col min="5383" max="5383" width="17.85546875" style="14" customWidth="1"/>
    <col min="5384" max="5406" width="19" style="14" customWidth="1"/>
    <col min="5407" max="5630" width="9.140625" style="14"/>
    <col min="5631" max="5631" width="3.140625" style="14" customWidth="1"/>
    <col min="5632" max="5632" width="4.5703125" style="14" bestFit="1" customWidth="1"/>
    <col min="5633" max="5633" width="28.5703125" style="14" customWidth="1"/>
    <col min="5634" max="5634" width="32.42578125" style="14" customWidth="1"/>
    <col min="5635" max="5635" width="14.85546875" style="14" customWidth="1"/>
    <col min="5636" max="5636" width="15.5703125" style="14" customWidth="1"/>
    <col min="5637" max="5637" width="19.42578125" style="14" customWidth="1"/>
    <col min="5638" max="5638" width="18.5703125" style="14" customWidth="1"/>
    <col min="5639" max="5639" width="17.85546875" style="14" customWidth="1"/>
    <col min="5640" max="5662" width="19" style="14" customWidth="1"/>
    <col min="5663" max="5886" width="9.140625" style="14"/>
    <col min="5887" max="5887" width="3.140625" style="14" customWidth="1"/>
    <col min="5888" max="5888" width="4.5703125" style="14" bestFit="1" customWidth="1"/>
    <col min="5889" max="5889" width="28.5703125" style="14" customWidth="1"/>
    <col min="5890" max="5890" width="32.42578125" style="14" customWidth="1"/>
    <col min="5891" max="5891" width="14.85546875" style="14" customWidth="1"/>
    <col min="5892" max="5892" width="15.5703125" style="14" customWidth="1"/>
    <col min="5893" max="5893" width="19.42578125" style="14" customWidth="1"/>
    <col min="5894" max="5894" width="18.5703125" style="14" customWidth="1"/>
    <col min="5895" max="5895" width="17.85546875" style="14" customWidth="1"/>
    <col min="5896" max="5918" width="19" style="14" customWidth="1"/>
    <col min="5919" max="6142" width="9.140625" style="14"/>
    <col min="6143" max="6143" width="3.140625" style="14" customWidth="1"/>
    <col min="6144" max="6144" width="4.5703125" style="14" bestFit="1" customWidth="1"/>
    <col min="6145" max="6145" width="28.5703125" style="14" customWidth="1"/>
    <col min="6146" max="6146" width="32.42578125" style="14" customWidth="1"/>
    <col min="6147" max="6147" width="14.85546875" style="14" customWidth="1"/>
    <col min="6148" max="6148" width="15.5703125" style="14" customWidth="1"/>
    <col min="6149" max="6149" width="19.42578125" style="14" customWidth="1"/>
    <col min="6150" max="6150" width="18.5703125" style="14" customWidth="1"/>
    <col min="6151" max="6151" width="17.85546875" style="14" customWidth="1"/>
    <col min="6152" max="6174" width="19" style="14" customWidth="1"/>
    <col min="6175" max="6398" width="9.140625" style="14"/>
    <col min="6399" max="6399" width="3.140625" style="14" customWidth="1"/>
    <col min="6400" max="6400" width="4.5703125" style="14" bestFit="1" customWidth="1"/>
    <col min="6401" max="6401" width="28.5703125" style="14" customWidth="1"/>
    <col min="6402" max="6402" width="32.42578125" style="14" customWidth="1"/>
    <col min="6403" max="6403" width="14.85546875" style="14" customWidth="1"/>
    <col min="6404" max="6404" width="15.5703125" style="14" customWidth="1"/>
    <col min="6405" max="6405" width="19.42578125" style="14" customWidth="1"/>
    <col min="6406" max="6406" width="18.5703125" style="14" customWidth="1"/>
    <col min="6407" max="6407" width="17.85546875" style="14" customWidth="1"/>
    <col min="6408" max="6430" width="19" style="14" customWidth="1"/>
    <col min="6431" max="6654" width="9.140625" style="14"/>
    <col min="6655" max="6655" width="3.140625" style="14" customWidth="1"/>
    <col min="6656" max="6656" width="4.5703125" style="14" bestFit="1" customWidth="1"/>
    <col min="6657" max="6657" width="28.5703125" style="14" customWidth="1"/>
    <col min="6658" max="6658" width="32.42578125" style="14" customWidth="1"/>
    <col min="6659" max="6659" width="14.85546875" style="14" customWidth="1"/>
    <col min="6660" max="6660" width="15.5703125" style="14" customWidth="1"/>
    <col min="6661" max="6661" width="19.42578125" style="14" customWidth="1"/>
    <col min="6662" max="6662" width="18.5703125" style="14" customWidth="1"/>
    <col min="6663" max="6663" width="17.85546875" style="14" customWidth="1"/>
    <col min="6664" max="6686" width="19" style="14" customWidth="1"/>
    <col min="6687" max="6910" width="9.140625" style="14"/>
    <col min="6911" max="6911" width="3.140625" style="14" customWidth="1"/>
    <col min="6912" max="6912" width="4.5703125" style="14" bestFit="1" customWidth="1"/>
    <col min="6913" max="6913" width="28.5703125" style="14" customWidth="1"/>
    <col min="6914" max="6914" width="32.42578125" style="14" customWidth="1"/>
    <col min="6915" max="6915" width="14.85546875" style="14" customWidth="1"/>
    <col min="6916" max="6916" width="15.5703125" style="14" customWidth="1"/>
    <col min="6917" max="6917" width="19.42578125" style="14" customWidth="1"/>
    <col min="6918" max="6918" width="18.5703125" style="14" customWidth="1"/>
    <col min="6919" max="6919" width="17.85546875" style="14" customWidth="1"/>
    <col min="6920" max="6942" width="19" style="14" customWidth="1"/>
    <col min="6943" max="7166" width="9.140625" style="14"/>
    <col min="7167" max="7167" width="3.140625" style="14" customWidth="1"/>
    <col min="7168" max="7168" width="4.5703125" style="14" bestFit="1" customWidth="1"/>
    <col min="7169" max="7169" width="28.5703125" style="14" customWidth="1"/>
    <col min="7170" max="7170" width="32.42578125" style="14" customWidth="1"/>
    <col min="7171" max="7171" width="14.85546875" style="14" customWidth="1"/>
    <col min="7172" max="7172" width="15.5703125" style="14" customWidth="1"/>
    <col min="7173" max="7173" width="19.42578125" style="14" customWidth="1"/>
    <col min="7174" max="7174" width="18.5703125" style="14" customWidth="1"/>
    <col min="7175" max="7175" width="17.85546875" style="14" customWidth="1"/>
    <col min="7176" max="7198" width="19" style="14" customWidth="1"/>
    <col min="7199" max="7422" width="9.140625" style="14"/>
    <col min="7423" max="7423" width="3.140625" style="14" customWidth="1"/>
    <col min="7424" max="7424" width="4.5703125" style="14" bestFit="1" customWidth="1"/>
    <col min="7425" max="7425" width="28.5703125" style="14" customWidth="1"/>
    <col min="7426" max="7426" width="32.42578125" style="14" customWidth="1"/>
    <col min="7427" max="7427" width="14.85546875" style="14" customWidth="1"/>
    <col min="7428" max="7428" width="15.5703125" style="14" customWidth="1"/>
    <col min="7429" max="7429" width="19.42578125" style="14" customWidth="1"/>
    <col min="7430" max="7430" width="18.5703125" style="14" customWidth="1"/>
    <col min="7431" max="7431" width="17.85546875" style="14" customWidth="1"/>
    <col min="7432" max="7454" width="19" style="14" customWidth="1"/>
    <col min="7455" max="7678" width="9.140625" style="14"/>
    <col min="7679" max="7679" width="3.140625" style="14" customWidth="1"/>
    <col min="7680" max="7680" width="4.5703125" style="14" bestFit="1" customWidth="1"/>
    <col min="7681" max="7681" width="28.5703125" style="14" customWidth="1"/>
    <col min="7682" max="7682" width="32.42578125" style="14" customWidth="1"/>
    <col min="7683" max="7683" width="14.85546875" style="14" customWidth="1"/>
    <col min="7684" max="7684" width="15.5703125" style="14" customWidth="1"/>
    <col min="7685" max="7685" width="19.42578125" style="14" customWidth="1"/>
    <col min="7686" max="7686" width="18.5703125" style="14" customWidth="1"/>
    <col min="7687" max="7687" width="17.85546875" style="14" customWidth="1"/>
    <col min="7688" max="7710" width="19" style="14" customWidth="1"/>
    <col min="7711" max="7934" width="9.140625" style="14"/>
    <col min="7935" max="7935" width="3.140625" style="14" customWidth="1"/>
    <col min="7936" max="7936" width="4.5703125" style="14" bestFit="1" customWidth="1"/>
    <col min="7937" max="7937" width="28.5703125" style="14" customWidth="1"/>
    <col min="7938" max="7938" width="32.42578125" style="14" customWidth="1"/>
    <col min="7939" max="7939" width="14.85546875" style="14" customWidth="1"/>
    <col min="7940" max="7940" width="15.5703125" style="14" customWidth="1"/>
    <col min="7941" max="7941" width="19.42578125" style="14" customWidth="1"/>
    <col min="7942" max="7942" width="18.5703125" style="14" customWidth="1"/>
    <col min="7943" max="7943" width="17.85546875" style="14" customWidth="1"/>
    <col min="7944" max="7966" width="19" style="14" customWidth="1"/>
    <col min="7967" max="8190" width="9.140625" style="14"/>
    <col min="8191" max="8191" width="3.140625" style="14" customWidth="1"/>
    <col min="8192" max="8192" width="4.5703125" style="14" bestFit="1" customWidth="1"/>
    <col min="8193" max="8193" width="28.5703125" style="14" customWidth="1"/>
    <col min="8194" max="8194" width="32.42578125" style="14" customWidth="1"/>
    <col min="8195" max="8195" width="14.85546875" style="14" customWidth="1"/>
    <col min="8196" max="8196" width="15.5703125" style="14" customWidth="1"/>
    <col min="8197" max="8197" width="19.42578125" style="14" customWidth="1"/>
    <col min="8198" max="8198" width="18.5703125" style="14" customWidth="1"/>
    <col min="8199" max="8199" width="17.85546875" style="14" customWidth="1"/>
    <col min="8200" max="8222" width="19" style="14" customWidth="1"/>
    <col min="8223" max="8446" width="9.140625" style="14"/>
    <col min="8447" max="8447" width="3.140625" style="14" customWidth="1"/>
    <col min="8448" max="8448" width="4.5703125" style="14" bestFit="1" customWidth="1"/>
    <col min="8449" max="8449" width="28.5703125" style="14" customWidth="1"/>
    <col min="8450" max="8450" width="32.42578125" style="14" customWidth="1"/>
    <col min="8451" max="8451" width="14.85546875" style="14" customWidth="1"/>
    <col min="8452" max="8452" width="15.5703125" style="14" customWidth="1"/>
    <col min="8453" max="8453" width="19.42578125" style="14" customWidth="1"/>
    <col min="8454" max="8454" width="18.5703125" style="14" customWidth="1"/>
    <col min="8455" max="8455" width="17.85546875" style="14" customWidth="1"/>
    <col min="8456" max="8478" width="19" style="14" customWidth="1"/>
    <col min="8479" max="8702" width="9.140625" style="14"/>
    <col min="8703" max="8703" width="3.140625" style="14" customWidth="1"/>
    <col min="8704" max="8704" width="4.5703125" style="14" bestFit="1" customWidth="1"/>
    <col min="8705" max="8705" width="28.5703125" style="14" customWidth="1"/>
    <col min="8706" max="8706" width="32.42578125" style="14" customWidth="1"/>
    <col min="8707" max="8707" width="14.85546875" style="14" customWidth="1"/>
    <col min="8708" max="8708" width="15.5703125" style="14" customWidth="1"/>
    <col min="8709" max="8709" width="19.42578125" style="14" customWidth="1"/>
    <col min="8710" max="8710" width="18.5703125" style="14" customWidth="1"/>
    <col min="8711" max="8711" width="17.85546875" style="14" customWidth="1"/>
    <col min="8712" max="8734" width="19" style="14" customWidth="1"/>
    <col min="8735" max="8958" width="9.140625" style="14"/>
    <col min="8959" max="8959" width="3.140625" style="14" customWidth="1"/>
    <col min="8960" max="8960" width="4.5703125" style="14" bestFit="1" customWidth="1"/>
    <col min="8961" max="8961" width="28.5703125" style="14" customWidth="1"/>
    <col min="8962" max="8962" width="32.42578125" style="14" customWidth="1"/>
    <col min="8963" max="8963" width="14.85546875" style="14" customWidth="1"/>
    <col min="8964" max="8964" width="15.5703125" style="14" customWidth="1"/>
    <col min="8965" max="8965" width="19.42578125" style="14" customWidth="1"/>
    <col min="8966" max="8966" width="18.5703125" style="14" customWidth="1"/>
    <col min="8967" max="8967" width="17.85546875" style="14" customWidth="1"/>
    <col min="8968" max="8990" width="19" style="14" customWidth="1"/>
    <col min="8991" max="9214" width="9.140625" style="14"/>
    <col min="9215" max="9215" width="3.140625" style="14" customWidth="1"/>
    <col min="9216" max="9216" width="4.5703125" style="14" bestFit="1" customWidth="1"/>
    <col min="9217" max="9217" width="28.5703125" style="14" customWidth="1"/>
    <col min="9218" max="9218" width="32.42578125" style="14" customWidth="1"/>
    <col min="9219" max="9219" width="14.85546875" style="14" customWidth="1"/>
    <col min="9220" max="9220" width="15.5703125" style="14" customWidth="1"/>
    <col min="9221" max="9221" width="19.42578125" style="14" customWidth="1"/>
    <col min="9222" max="9222" width="18.5703125" style="14" customWidth="1"/>
    <col min="9223" max="9223" width="17.85546875" style="14" customWidth="1"/>
    <col min="9224" max="9246" width="19" style="14" customWidth="1"/>
    <col min="9247" max="9470" width="9.140625" style="14"/>
    <col min="9471" max="9471" width="3.140625" style="14" customWidth="1"/>
    <col min="9472" max="9472" width="4.5703125" style="14" bestFit="1" customWidth="1"/>
    <col min="9473" max="9473" width="28.5703125" style="14" customWidth="1"/>
    <col min="9474" max="9474" width="32.42578125" style="14" customWidth="1"/>
    <col min="9475" max="9475" width="14.85546875" style="14" customWidth="1"/>
    <col min="9476" max="9476" width="15.5703125" style="14" customWidth="1"/>
    <col min="9477" max="9477" width="19.42578125" style="14" customWidth="1"/>
    <col min="9478" max="9478" width="18.5703125" style="14" customWidth="1"/>
    <col min="9479" max="9479" width="17.85546875" style="14" customWidth="1"/>
    <col min="9480" max="9502" width="19" style="14" customWidth="1"/>
    <col min="9503" max="9726" width="9.140625" style="14"/>
    <col min="9727" max="9727" width="3.140625" style="14" customWidth="1"/>
    <col min="9728" max="9728" width="4.5703125" style="14" bestFit="1" customWidth="1"/>
    <col min="9729" max="9729" width="28.5703125" style="14" customWidth="1"/>
    <col min="9730" max="9730" width="32.42578125" style="14" customWidth="1"/>
    <col min="9731" max="9731" width="14.85546875" style="14" customWidth="1"/>
    <col min="9732" max="9732" width="15.5703125" style="14" customWidth="1"/>
    <col min="9733" max="9733" width="19.42578125" style="14" customWidth="1"/>
    <col min="9734" max="9734" width="18.5703125" style="14" customWidth="1"/>
    <col min="9735" max="9735" width="17.85546875" style="14" customWidth="1"/>
    <col min="9736" max="9758" width="19" style="14" customWidth="1"/>
    <col min="9759" max="9982" width="9.140625" style="14"/>
    <col min="9983" max="9983" width="3.140625" style="14" customWidth="1"/>
    <col min="9984" max="9984" width="4.5703125" style="14" bestFit="1" customWidth="1"/>
    <col min="9985" max="9985" width="28.5703125" style="14" customWidth="1"/>
    <col min="9986" max="9986" width="32.42578125" style="14" customWidth="1"/>
    <col min="9987" max="9987" width="14.85546875" style="14" customWidth="1"/>
    <col min="9988" max="9988" width="15.5703125" style="14" customWidth="1"/>
    <col min="9989" max="9989" width="19.42578125" style="14" customWidth="1"/>
    <col min="9990" max="9990" width="18.5703125" style="14" customWidth="1"/>
    <col min="9991" max="9991" width="17.85546875" style="14" customWidth="1"/>
    <col min="9992" max="10014" width="19" style="14" customWidth="1"/>
    <col min="10015" max="10238" width="9.140625" style="14"/>
    <col min="10239" max="10239" width="3.140625" style="14" customWidth="1"/>
    <col min="10240" max="10240" width="4.5703125" style="14" bestFit="1" customWidth="1"/>
    <col min="10241" max="10241" width="28.5703125" style="14" customWidth="1"/>
    <col min="10242" max="10242" width="32.42578125" style="14" customWidth="1"/>
    <col min="10243" max="10243" width="14.85546875" style="14" customWidth="1"/>
    <col min="10244" max="10244" width="15.5703125" style="14" customWidth="1"/>
    <col min="10245" max="10245" width="19.42578125" style="14" customWidth="1"/>
    <col min="10246" max="10246" width="18.5703125" style="14" customWidth="1"/>
    <col min="10247" max="10247" width="17.85546875" style="14" customWidth="1"/>
    <col min="10248" max="10270" width="19" style="14" customWidth="1"/>
    <col min="10271" max="10494" width="9.140625" style="14"/>
    <col min="10495" max="10495" width="3.140625" style="14" customWidth="1"/>
    <col min="10496" max="10496" width="4.5703125" style="14" bestFit="1" customWidth="1"/>
    <col min="10497" max="10497" width="28.5703125" style="14" customWidth="1"/>
    <col min="10498" max="10498" width="32.42578125" style="14" customWidth="1"/>
    <col min="10499" max="10499" width="14.85546875" style="14" customWidth="1"/>
    <col min="10500" max="10500" width="15.5703125" style="14" customWidth="1"/>
    <col min="10501" max="10501" width="19.42578125" style="14" customWidth="1"/>
    <col min="10502" max="10502" width="18.5703125" style="14" customWidth="1"/>
    <col min="10503" max="10503" width="17.85546875" style="14" customWidth="1"/>
    <col min="10504" max="10526" width="19" style="14" customWidth="1"/>
    <col min="10527" max="10750" width="9.140625" style="14"/>
    <col min="10751" max="10751" width="3.140625" style="14" customWidth="1"/>
    <col min="10752" max="10752" width="4.5703125" style="14" bestFit="1" customWidth="1"/>
    <col min="10753" max="10753" width="28.5703125" style="14" customWidth="1"/>
    <col min="10754" max="10754" width="32.42578125" style="14" customWidth="1"/>
    <col min="10755" max="10755" width="14.85546875" style="14" customWidth="1"/>
    <col min="10756" max="10756" width="15.5703125" style="14" customWidth="1"/>
    <col min="10757" max="10757" width="19.42578125" style="14" customWidth="1"/>
    <col min="10758" max="10758" width="18.5703125" style="14" customWidth="1"/>
    <col min="10759" max="10759" width="17.85546875" style="14" customWidth="1"/>
    <col min="10760" max="10782" width="19" style="14" customWidth="1"/>
    <col min="10783" max="11006" width="9.140625" style="14"/>
    <col min="11007" max="11007" width="3.140625" style="14" customWidth="1"/>
    <col min="11008" max="11008" width="4.5703125" style="14" bestFit="1" customWidth="1"/>
    <col min="11009" max="11009" width="28.5703125" style="14" customWidth="1"/>
    <col min="11010" max="11010" width="32.42578125" style="14" customWidth="1"/>
    <col min="11011" max="11011" width="14.85546875" style="14" customWidth="1"/>
    <col min="11012" max="11012" width="15.5703125" style="14" customWidth="1"/>
    <col min="11013" max="11013" width="19.42578125" style="14" customWidth="1"/>
    <col min="11014" max="11014" width="18.5703125" style="14" customWidth="1"/>
    <col min="11015" max="11015" width="17.85546875" style="14" customWidth="1"/>
    <col min="11016" max="11038" width="19" style="14" customWidth="1"/>
    <col min="11039" max="11262" width="9.140625" style="14"/>
    <col min="11263" max="11263" width="3.140625" style="14" customWidth="1"/>
    <col min="11264" max="11264" width="4.5703125" style="14" bestFit="1" customWidth="1"/>
    <col min="11265" max="11265" width="28.5703125" style="14" customWidth="1"/>
    <col min="11266" max="11266" width="32.42578125" style="14" customWidth="1"/>
    <col min="11267" max="11267" width="14.85546875" style="14" customWidth="1"/>
    <col min="11268" max="11268" width="15.5703125" style="14" customWidth="1"/>
    <col min="11269" max="11269" width="19.42578125" style="14" customWidth="1"/>
    <col min="11270" max="11270" width="18.5703125" style="14" customWidth="1"/>
    <col min="11271" max="11271" width="17.85546875" style="14" customWidth="1"/>
    <col min="11272" max="11294" width="19" style="14" customWidth="1"/>
    <col min="11295" max="11518" width="9.140625" style="14"/>
    <col min="11519" max="11519" width="3.140625" style="14" customWidth="1"/>
    <col min="11520" max="11520" width="4.5703125" style="14" bestFit="1" customWidth="1"/>
    <col min="11521" max="11521" width="28.5703125" style="14" customWidth="1"/>
    <col min="11522" max="11522" width="32.42578125" style="14" customWidth="1"/>
    <col min="11523" max="11523" width="14.85546875" style="14" customWidth="1"/>
    <col min="11524" max="11524" width="15.5703125" style="14" customWidth="1"/>
    <col min="11525" max="11525" width="19.42578125" style="14" customWidth="1"/>
    <col min="11526" max="11526" width="18.5703125" style="14" customWidth="1"/>
    <col min="11527" max="11527" width="17.85546875" style="14" customWidth="1"/>
    <col min="11528" max="11550" width="19" style="14" customWidth="1"/>
    <col min="11551" max="11774" width="9.140625" style="14"/>
    <col min="11775" max="11775" width="3.140625" style="14" customWidth="1"/>
    <col min="11776" max="11776" width="4.5703125" style="14" bestFit="1" customWidth="1"/>
    <col min="11777" max="11777" width="28.5703125" style="14" customWidth="1"/>
    <col min="11778" max="11778" width="32.42578125" style="14" customWidth="1"/>
    <col min="11779" max="11779" width="14.85546875" style="14" customWidth="1"/>
    <col min="11780" max="11780" width="15.5703125" style="14" customWidth="1"/>
    <col min="11781" max="11781" width="19.42578125" style="14" customWidth="1"/>
    <col min="11782" max="11782" width="18.5703125" style="14" customWidth="1"/>
    <col min="11783" max="11783" width="17.85546875" style="14" customWidth="1"/>
    <col min="11784" max="11806" width="19" style="14" customWidth="1"/>
    <col min="11807" max="12030" width="9.140625" style="14"/>
    <col min="12031" max="12031" width="3.140625" style="14" customWidth="1"/>
    <col min="12032" max="12032" width="4.5703125" style="14" bestFit="1" customWidth="1"/>
    <col min="12033" max="12033" width="28.5703125" style="14" customWidth="1"/>
    <col min="12034" max="12034" width="32.42578125" style="14" customWidth="1"/>
    <col min="12035" max="12035" width="14.85546875" style="14" customWidth="1"/>
    <col min="12036" max="12036" width="15.5703125" style="14" customWidth="1"/>
    <col min="12037" max="12037" width="19.42578125" style="14" customWidth="1"/>
    <col min="12038" max="12038" width="18.5703125" style="14" customWidth="1"/>
    <col min="12039" max="12039" width="17.85546875" style="14" customWidth="1"/>
    <col min="12040" max="12062" width="19" style="14" customWidth="1"/>
    <col min="12063" max="12286" width="9.140625" style="14"/>
    <col min="12287" max="12287" width="3.140625" style="14" customWidth="1"/>
    <col min="12288" max="12288" width="4.5703125" style="14" bestFit="1" customWidth="1"/>
    <col min="12289" max="12289" width="28.5703125" style="14" customWidth="1"/>
    <col min="12290" max="12290" width="32.42578125" style="14" customWidth="1"/>
    <col min="12291" max="12291" width="14.85546875" style="14" customWidth="1"/>
    <col min="12292" max="12292" width="15.5703125" style="14" customWidth="1"/>
    <col min="12293" max="12293" width="19.42578125" style="14" customWidth="1"/>
    <col min="12294" max="12294" width="18.5703125" style="14" customWidth="1"/>
    <col min="12295" max="12295" width="17.85546875" style="14" customWidth="1"/>
    <col min="12296" max="12318" width="19" style="14" customWidth="1"/>
    <col min="12319" max="12542" width="9.140625" style="14"/>
    <col min="12543" max="12543" width="3.140625" style="14" customWidth="1"/>
    <col min="12544" max="12544" width="4.5703125" style="14" bestFit="1" customWidth="1"/>
    <col min="12545" max="12545" width="28.5703125" style="14" customWidth="1"/>
    <col min="12546" max="12546" width="32.42578125" style="14" customWidth="1"/>
    <col min="12547" max="12547" width="14.85546875" style="14" customWidth="1"/>
    <col min="12548" max="12548" width="15.5703125" style="14" customWidth="1"/>
    <col min="12549" max="12549" width="19.42578125" style="14" customWidth="1"/>
    <col min="12550" max="12550" width="18.5703125" style="14" customWidth="1"/>
    <col min="12551" max="12551" width="17.85546875" style="14" customWidth="1"/>
    <col min="12552" max="12574" width="19" style="14" customWidth="1"/>
    <col min="12575" max="12798" width="9.140625" style="14"/>
    <col min="12799" max="12799" width="3.140625" style="14" customWidth="1"/>
    <col min="12800" max="12800" width="4.5703125" style="14" bestFit="1" customWidth="1"/>
    <col min="12801" max="12801" width="28.5703125" style="14" customWidth="1"/>
    <col min="12802" max="12802" width="32.42578125" style="14" customWidth="1"/>
    <col min="12803" max="12803" width="14.85546875" style="14" customWidth="1"/>
    <col min="12804" max="12804" width="15.5703125" style="14" customWidth="1"/>
    <col min="12805" max="12805" width="19.42578125" style="14" customWidth="1"/>
    <col min="12806" max="12806" width="18.5703125" style="14" customWidth="1"/>
    <col min="12807" max="12807" width="17.85546875" style="14" customWidth="1"/>
    <col min="12808" max="12830" width="19" style="14" customWidth="1"/>
    <col min="12831" max="13054" width="9.140625" style="14"/>
    <col min="13055" max="13055" width="3.140625" style="14" customWidth="1"/>
    <col min="13056" max="13056" width="4.5703125" style="14" bestFit="1" customWidth="1"/>
    <col min="13057" max="13057" width="28.5703125" style="14" customWidth="1"/>
    <col min="13058" max="13058" width="32.42578125" style="14" customWidth="1"/>
    <col min="13059" max="13059" width="14.85546875" style="14" customWidth="1"/>
    <col min="13060" max="13060" width="15.5703125" style="14" customWidth="1"/>
    <col min="13061" max="13061" width="19.42578125" style="14" customWidth="1"/>
    <col min="13062" max="13062" width="18.5703125" style="14" customWidth="1"/>
    <col min="13063" max="13063" width="17.85546875" style="14" customWidth="1"/>
    <col min="13064" max="13086" width="19" style="14" customWidth="1"/>
    <col min="13087" max="13310" width="9.140625" style="14"/>
    <col min="13311" max="13311" width="3.140625" style="14" customWidth="1"/>
    <col min="13312" max="13312" width="4.5703125" style="14" bestFit="1" customWidth="1"/>
    <col min="13313" max="13313" width="28.5703125" style="14" customWidth="1"/>
    <col min="13314" max="13314" width="32.42578125" style="14" customWidth="1"/>
    <col min="13315" max="13315" width="14.85546875" style="14" customWidth="1"/>
    <col min="13316" max="13316" width="15.5703125" style="14" customWidth="1"/>
    <col min="13317" max="13317" width="19.42578125" style="14" customWidth="1"/>
    <col min="13318" max="13318" width="18.5703125" style="14" customWidth="1"/>
    <col min="13319" max="13319" width="17.85546875" style="14" customWidth="1"/>
    <col min="13320" max="13342" width="19" style="14" customWidth="1"/>
    <col min="13343" max="13566" width="9.140625" style="14"/>
    <col min="13567" max="13567" width="3.140625" style="14" customWidth="1"/>
    <col min="13568" max="13568" width="4.5703125" style="14" bestFit="1" customWidth="1"/>
    <col min="13569" max="13569" width="28.5703125" style="14" customWidth="1"/>
    <col min="13570" max="13570" width="32.42578125" style="14" customWidth="1"/>
    <col min="13571" max="13571" width="14.85546875" style="14" customWidth="1"/>
    <col min="13572" max="13572" width="15.5703125" style="14" customWidth="1"/>
    <col min="13573" max="13573" width="19.42578125" style="14" customWidth="1"/>
    <col min="13574" max="13574" width="18.5703125" style="14" customWidth="1"/>
    <col min="13575" max="13575" width="17.85546875" style="14" customWidth="1"/>
    <col min="13576" max="13598" width="19" style="14" customWidth="1"/>
    <col min="13599" max="13822" width="9.140625" style="14"/>
    <col min="13823" max="13823" width="3.140625" style="14" customWidth="1"/>
    <col min="13824" max="13824" width="4.5703125" style="14" bestFit="1" customWidth="1"/>
    <col min="13825" max="13825" width="28.5703125" style="14" customWidth="1"/>
    <col min="13826" max="13826" width="32.42578125" style="14" customWidth="1"/>
    <col min="13827" max="13827" width="14.85546875" style="14" customWidth="1"/>
    <col min="13828" max="13828" width="15.5703125" style="14" customWidth="1"/>
    <col min="13829" max="13829" width="19.42578125" style="14" customWidth="1"/>
    <col min="13830" max="13830" width="18.5703125" style="14" customWidth="1"/>
    <col min="13831" max="13831" width="17.85546875" style="14" customWidth="1"/>
    <col min="13832" max="13854" width="19" style="14" customWidth="1"/>
    <col min="13855" max="14078" width="9.140625" style="14"/>
    <col min="14079" max="14079" width="3.140625" style="14" customWidth="1"/>
    <col min="14080" max="14080" width="4.5703125" style="14" bestFit="1" customWidth="1"/>
    <col min="14081" max="14081" width="28.5703125" style="14" customWidth="1"/>
    <col min="14082" max="14082" width="32.42578125" style="14" customWidth="1"/>
    <col min="14083" max="14083" width="14.85546875" style="14" customWidth="1"/>
    <col min="14084" max="14084" width="15.5703125" style="14" customWidth="1"/>
    <col min="14085" max="14085" width="19.42578125" style="14" customWidth="1"/>
    <col min="14086" max="14086" width="18.5703125" style="14" customWidth="1"/>
    <col min="14087" max="14087" width="17.85546875" style="14" customWidth="1"/>
    <col min="14088" max="14110" width="19" style="14" customWidth="1"/>
    <col min="14111" max="14334" width="9.140625" style="14"/>
    <col min="14335" max="14335" width="3.140625" style="14" customWidth="1"/>
    <col min="14336" max="14336" width="4.5703125" style="14" bestFit="1" customWidth="1"/>
    <col min="14337" max="14337" width="28.5703125" style="14" customWidth="1"/>
    <col min="14338" max="14338" width="32.42578125" style="14" customWidth="1"/>
    <col min="14339" max="14339" width="14.85546875" style="14" customWidth="1"/>
    <col min="14340" max="14340" width="15.5703125" style="14" customWidth="1"/>
    <col min="14341" max="14341" width="19.42578125" style="14" customWidth="1"/>
    <col min="14342" max="14342" width="18.5703125" style="14" customWidth="1"/>
    <col min="14343" max="14343" width="17.85546875" style="14" customWidth="1"/>
    <col min="14344" max="14366" width="19" style="14" customWidth="1"/>
    <col min="14367" max="14590" width="9.140625" style="14"/>
    <col min="14591" max="14591" width="3.140625" style="14" customWidth="1"/>
    <col min="14592" max="14592" width="4.5703125" style="14" bestFit="1" customWidth="1"/>
    <col min="14593" max="14593" width="28.5703125" style="14" customWidth="1"/>
    <col min="14594" max="14594" width="32.42578125" style="14" customWidth="1"/>
    <col min="14595" max="14595" width="14.85546875" style="14" customWidth="1"/>
    <col min="14596" max="14596" width="15.5703125" style="14" customWidth="1"/>
    <col min="14597" max="14597" width="19.42578125" style="14" customWidth="1"/>
    <col min="14598" max="14598" width="18.5703125" style="14" customWidth="1"/>
    <col min="14599" max="14599" width="17.85546875" style="14" customWidth="1"/>
    <col min="14600" max="14622" width="19" style="14" customWidth="1"/>
    <col min="14623" max="14846" width="9.140625" style="14"/>
    <col min="14847" max="14847" width="3.140625" style="14" customWidth="1"/>
    <col min="14848" max="14848" width="4.5703125" style="14" bestFit="1" customWidth="1"/>
    <col min="14849" max="14849" width="28.5703125" style="14" customWidth="1"/>
    <col min="14850" max="14850" width="32.42578125" style="14" customWidth="1"/>
    <col min="14851" max="14851" width="14.85546875" style="14" customWidth="1"/>
    <col min="14852" max="14852" width="15.5703125" style="14" customWidth="1"/>
    <col min="14853" max="14853" width="19.42578125" style="14" customWidth="1"/>
    <col min="14854" max="14854" width="18.5703125" style="14" customWidth="1"/>
    <col min="14855" max="14855" width="17.85546875" style="14" customWidth="1"/>
    <col min="14856" max="14878" width="19" style="14" customWidth="1"/>
    <col min="14879" max="15102" width="9.140625" style="14"/>
    <col min="15103" max="15103" width="3.140625" style="14" customWidth="1"/>
    <col min="15104" max="15104" width="4.5703125" style="14" bestFit="1" customWidth="1"/>
    <col min="15105" max="15105" width="28.5703125" style="14" customWidth="1"/>
    <col min="15106" max="15106" width="32.42578125" style="14" customWidth="1"/>
    <col min="15107" max="15107" width="14.85546875" style="14" customWidth="1"/>
    <col min="15108" max="15108" width="15.5703125" style="14" customWidth="1"/>
    <col min="15109" max="15109" width="19.42578125" style="14" customWidth="1"/>
    <col min="15110" max="15110" width="18.5703125" style="14" customWidth="1"/>
    <col min="15111" max="15111" width="17.85546875" style="14" customWidth="1"/>
    <col min="15112" max="15134" width="19" style="14" customWidth="1"/>
    <col min="15135" max="15358" width="9.140625" style="14"/>
    <col min="15359" max="15359" width="3.140625" style="14" customWidth="1"/>
    <col min="15360" max="15360" width="4.5703125" style="14" bestFit="1" customWidth="1"/>
    <col min="15361" max="15361" width="28.5703125" style="14" customWidth="1"/>
    <col min="15362" max="15362" width="32.42578125" style="14" customWidth="1"/>
    <col min="15363" max="15363" width="14.85546875" style="14" customWidth="1"/>
    <col min="15364" max="15364" width="15.5703125" style="14" customWidth="1"/>
    <col min="15365" max="15365" width="19.42578125" style="14" customWidth="1"/>
    <col min="15366" max="15366" width="18.5703125" style="14" customWidth="1"/>
    <col min="15367" max="15367" width="17.85546875" style="14" customWidth="1"/>
    <col min="15368" max="15390" width="19" style="14" customWidth="1"/>
    <col min="15391" max="15614" width="9.140625" style="14"/>
    <col min="15615" max="15615" width="3.140625" style="14" customWidth="1"/>
    <col min="15616" max="15616" width="4.5703125" style="14" bestFit="1" customWidth="1"/>
    <col min="15617" max="15617" width="28.5703125" style="14" customWidth="1"/>
    <col min="15618" max="15618" width="32.42578125" style="14" customWidth="1"/>
    <col min="15619" max="15619" width="14.85546875" style="14" customWidth="1"/>
    <col min="15620" max="15620" width="15.5703125" style="14" customWidth="1"/>
    <col min="15621" max="15621" width="19.42578125" style="14" customWidth="1"/>
    <col min="15622" max="15622" width="18.5703125" style="14" customWidth="1"/>
    <col min="15623" max="15623" width="17.85546875" style="14" customWidth="1"/>
    <col min="15624" max="15646" width="19" style="14" customWidth="1"/>
    <col min="15647" max="15870" width="9.140625" style="14"/>
    <col min="15871" max="15871" width="3.140625" style="14" customWidth="1"/>
    <col min="15872" max="15872" width="4.5703125" style="14" bestFit="1" customWidth="1"/>
    <col min="15873" max="15873" width="28.5703125" style="14" customWidth="1"/>
    <col min="15874" max="15874" width="32.42578125" style="14" customWidth="1"/>
    <col min="15875" max="15875" width="14.85546875" style="14" customWidth="1"/>
    <col min="15876" max="15876" width="15.5703125" style="14" customWidth="1"/>
    <col min="15877" max="15877" width="19.42578125" style="14" customWidth="1"/>
    <col min="15878" max="15878" width="18.5703125" style="14" customWidth="1"/>
    <col min="15879" max="15879" width="17.85546875" style="14" customWidth="1"/>
    <col min="15880" max="15902" width="19" style="14" customWidth="1"/>
    <col min="15903" max="16126" width="9.140625" style="14"/>
    <col min="16127" max="16127" width="3.140625" style="14" customWidth="1"/>
    <col min="16128" max="16128" width="4.5703125" style="14" bestFit="1" customWidth="1"/>
    <col min="16129" max="16129" width="28.5703125" style="14" customWidth="1"/>
    <col min="16130" max="16130" width="32.42578125" style="14" customWidth="1"/>
    <col min="16131" max="16131" width="14.85546875" style="14" customWidth="1"/>
    <col min="16132" max="16132" width="15.5703125" style="14" customWidth="1"/>
    <col min="16133" max="16133" width="19.42578125" style="14" customWidth="1"/>
    <col min="16134" max="16134" width="18.5703125" style="14" customWidth="1"/>
    <col min="16135" max="16135" width="17.85546875" style="14" customWidth="1"/>
    <col min="16136" max="16158" width="19" style="14" customWidth="1"/>
    <col min="16159" max="16384" width="9.140625" style="14"/>
  </cols>
  <sheetData>
    <row r="1" spans="1:8" s="95" customFormat="1" ht="57.75" customHeight="1" x14ac:dyDescent="0.2">
      <c r="A1" s="79" t="s">
        <v>178</v>
      </c>
      <c r="B1" s="79" t="s">
        <v>179</v>
      </c>
      <c r="C1" s="79" t="s">
        <v>118</v>
      </c>
      <c r="D1" s="79" t="s">
        <v>119</v>
      </c>
      <c r="E1" s="79" t="s">
        <v>135</v>
      </c>
      <c r="F1" s="79" t="s">
        <v>120</v>
      </c>
      <c r="G1" s="79" t="s">
        <v>121</v>
      </c>
      <c r="H1" s="79" t="s">
        <v>300</v>
      </c>
    </row>
    <row r="2" spans="1:8" s="95" customFormat="1" ht="18" customHeight="1" x14ac:dyDescent="0.2">
      <c r="A2" s="115" t="s">
        <v>140</v>
      </c>
      <c r="B2" s="116"/>
      <c r="C2" s="117"/>
      <c r="D2" s="118"/>
      <c r="E2" s="117"/>
      <c r="F2" s="117"/>
      <c r="G2" s="117"/>
      <c r="H2" s="118"/>
    </row>
    <row r="3" spans="1:8" s="95" customFormat="1" ht="18" customHeight="1" x14ac:dyDescent="0.2">
      <c r="A3" s="119" t="s">
        <v>180</v>
      </c>
      <c r="B3" s="120"/>
      <c r="C3" s="120"/>
      <c r="D3" s="121"/>
      <c r="E3" s="120"/>
      <c r="F3" s="120"/>
      <c r="G3" s="120"/>
      <c r="H3" s="121"/>
    </row>
    <row r="4" spans="1:8" s="95" customFormat="1" ht="20.100000000000001" customHeight="1" x14ac:dyDescent="0.2">
      <c r="A4" s="122" t="s">
        <v>181</v>
      </c>
      <c r="B4" s="123">
        <f>SUM(B3)</f>
        <v>0</v>
      </c>
      <c r="C4" s="123">
        <f t="shared" ref="C4:H4" si="0">SUM(C3)</f>
        <v>0</v>
      </c>
      <c r="D4" s="123">
        <f t="shared" si="0"/>
        <v>0</v>
      </c>
      <c r="E4" s="123">
        <f t="shared" si="0"/>
        <v>0</v>
      </c>
      <c r="F4" s="123">
        <f t="shared" si="0"/>
        <v>0</v>
      </c>
      <c r="G4" s="123">
        <f t="shared" si="0"/>
        <v>0</v>
      </c>
      <c r="H4" s="123">
        <f t="shared" si="0"/>
        <v>0</v>
      </c>
    </row>
    <row r="5" spans="1:8" ht="18" customHeight="1" x14ac:dyDescent="0.2">
      <c r="A5" s="119" t="s">
        <v>182</v>
      </c>
      <c r="B5" s="124"/>
      <c r="C5" s="124"/>
      <c r="D5" s="124"/>
      <c r="E5" s="124"/>
      <c r="F5" s="124"/>
      <c r="G5" s="124"/>
      <c r="H5" s="124"/>
    </row>
    <row r="6" spans="1:8" ht="18" customHeight="1" x14ac:dyDescent="0.2">
      <c r="A6" s="125" t="s">
        <v>286</v>
      </c>
      <c r="B6" s="124"/>
      <c r="C6" s="124"/>
      <c r="D6" s="124"/>
      <c r="E6" s="124"/>
      <c r="F6" s="124"/>
      <c r="G6" s="124"/>
      <c r="H6" s="124"/>
    </row>
    <row r="7" spans="1:8" ht="18" customHeight="1" x14ac:dyDescent="0.2">
      <c r="A7" s="125" t="s">
        <v>183</v>
      </c>
      <c r="B7" s="124"/>
      <c r="C7" s="124"/>
      <c r="D7" s="124"/>
      <c r="E7" s="124"/>
      <c r="F7" s="124"/>
      <c r="G7" s="124"/>
      <c r="H7" s="124"/>
    </row>
    <row r="8" spans="1:8" x14ac:dyDescent="0.2">
      <c r="A8" s="123" t="s">
        <v>184</v>
      </c>
      <c r="B8" s="126">
        <f t="shared" ref="B8:H8" si="1">SUM(B5:B7)</f>
        <v>0</v>
      </c>
      <c r="C8" s="126">
        <f t="shared" si="1"/>
        <v>0</v>
      </c>
      <c r="D8" s="126">
        <f t="shared" si="1"/>
        <v>0</v>
      </c>
      <c r="E8" s="126">
        <f t="shared" si="1"/>
        <v>0</v>
      </c>
      <c r="F8" s="126">
        <f t="shared" si="1"/>
        <v>0</v>
      </c>
      <c r="G8" s="126">
        <f t="shared" si="1"/>
        <v>0</v>
      </c>
      <c r="H8" s="126">
        <f t="shared" si="1"/>
        <v>0</v>
      </c>
    </row>
    <row r="9" spans="1:8" ht="15" customHeight="1" x14ac:dyDescent="0.2">
      <c r="A9" s="115" t="s">
        <v>144</v>
      </c>
      <c r="B9" s="116"/>
      <c r="C9" s="117"/>
      <c r="D9" s="118"/>
      <c r="E9" s="117"/>
      <c r="F9" s="117"/>
      <c r="G9" s="117"/>
      <c r="H9" s="118"/>
    </row>
    <row r="10" spans="1:8" ht="15" customHeight="1" x14ac:dyDescent="0.2">
      <c r="A10" s="119" t="s">
        <v>180</v>
      </c>
      <c r="B10" s="120"/>
      <c r="C10" s="120"/>
      <c r="D10" s="121"/>
      <c r="E10" s="120"/>
      <c r="F10" s="120"/>
      <c r="G10" s="120"/>
      <c r="H10" s="121"/>
    </row>
    <row r="11" spans="1:8" ht="20.100000000000001" customHeight="1" x14ac:dyDescent="0.2">
      <c r="A11" s="122" t="s">
        <v>185</v>
      </c>
      <c r="B11" s="126">
        <f>SUM(B10)</f>
        <v>0</v>
      </c>
      <c r="C11" s="126">
        <f t="shared" ref="C11:H11" si="2">SUM(C10)</f>
        <v>0</v>
      </c>
      <c r="D11" s="126">
        <f t="shared" si="2"/>
        <v>0</v>
      </c>
      <c r="E11" s="126">
        <f t="shared" si="2"/>
        <v>0</v>
      </c>
      <c r="F11" s="126">
        <f t="shared" si="2"/>
        <v>0</v>
      </c>
      <c r="G11" s="126">
        <f t="shared" si="2"/>
        <v>0</v>
      </c>
      <c r="H11" s="126">
        <f t="shared" si="2"/>
        <v>0</v>
      </c>
    </row>
    <row r="12" spans="1:8" ht="18" customHeight="1" x14ac:dyDescent="0.2">
      <c r="A12" s="119" t="s">
        <v>186</v>
      </c>
      <c r="B12" s="124"/>
      <c r="C12" s="124"/>
      <c r="D12" s="124"/>
      <c r="E12" s="124"/>
      <c r="F12" s="124"/>
      <c r="G12" s="124"/>
      <c r="H12" s="124"/>
    </row>
    <row r="13" spans="1:8" ht="18" customHeight="1" x14ac:dyDescent="0.2">
      <c r="A13" s="110" t="s">
        <v>270</v>
      </c>
      <c r="B13" s="124"/>
      <c r="C13" s="124"/>
      <c r="D13" s="124"/>
      <c r="E13" s="124"/>
      <c r="F13" s="124"/>
      <c r="G13" s="124"/>
      <c r="H13" s="124"/>
    </row>
    <row r="14" spans="1:8" ht="18" customHeight="1" x14ac:dyDescent="0.2">
      <c r="A14" s="110" t="s">
        <v>187</v>
      </c>
      <c r="B14" s="124"/>
      <c r="C14" s="124"/>
      <c r="D14" s="124"/>
      <c r="E14" s="124"/>
      <c r="F14" s="124"/>
      <c r="G14" s="124"/>
      <c r="H14" s="124"/>
    </row>
    <row r="15" spans="1:8" x14ac:dyDescent="0.2">
      <c r="A15" s="123" t="s">
        <v>184</v>
      </c>
      <c r="B15" s="126">
        <f t="shared" ref="B15:H15" si="3">SUM(B12:B14)</f>
        <v>0</v>
      </c>
      <c r="C15" s="126">
        <f t="shared" si="3"/>
        <v>0</v>
      </c>
      <c r="D15" s="126">
        <f t="shared" si="3"/>
        <v>0</v>
      </c>
      <c r="E15" s="126">
        <f t="shared" si="3"/>
        <v>0</v>
      </c>
      <c r="F15" s="126">
        <f t="shared" si="3"/>
        <v>0</v>
      </c>
      <c r="G15" s="126">
        <f t="shared" si="3"/>
        <v>0</v>
      </c>
      <c r="H15" s="126">
        <f t="shared" si="3"/>
        <v>0</v>
      </c>
    </row>
    <row r="16" spans="1:8" ht="26.25" customHeight="1" x14ac:dyDescent="0.2">
      <c r="A16" s="127" t="s">
        <v>188</v>
      </c>
      <c r="B16" s="124"/>
      <c r="C16" s="124"/>
      <c r="D16" s="124"/>
      <c r="E16" s="124"/>
      <c r="F16" s="124"/>
      <c r="G16" s="124"/>
      <c r="H16" s="124"/>
    </row>
    <row r="17" spans="1:8" ht="30" customHeight="1" x14ac:dyDescent="0.2">
      <c r="A17" s="110" t="s">
        <v>291</v>
      </c>
      <c r="B17" s="124"/>
      <c r="C17" s="124"/>
      <c r="D17" s="124"/>
      <c r="E17" s="124"/>
      <c r="F17" s="124"/>
      <c r="G17" s="124"/>
      <c r="H17" s="124"/>
    </row>
    <row r="18" spans="1:8" ht="30" customHeight="1" x14ac:dyDescent="0.2">
      <c r="A18" s="110" t="s">
        <v>292</v>
      </c>
      <c r="B18" s="124"/>
      <c r="C18" s="124"/>
      <c r="D18" s="124"/>
      <c r="E18" s="124"/>
      <c r="F18" s="124"/>
      <c r="G18" s="124"/>
      <c r="H18" s="124"/>
    </row>
    <row r="19" spans="1:8" ht="6.75" customHeight="1" x14ac:dyDescent="0.2">
      <c r="A19" s="110"/>
      <c r="B19" s="124"/>
      <c r="C19" s="124"/>
      <c r="D19" s="124"/>
      <c r="E19" s="124"/>
      <c r="F19" s="124"/>
      <c r="G19" s="124"/>
      <c r="H19" s="124"/>
    </row>
    <row r="20" spans="1:8" ht="16.5" customHeight="1" x14ac:dyDescent="0.2">
      <c r="A20" s="127" t="s">
        <v>189</v>
      </c>
      <c r="B20" s="124"/>
      <c r="C20" s="124"/>
      <c r="D20" s="124"/>
      <c r="E20" s="124"/>
      <c r="F20" s="124"/>
      <c r="G20" s="124"/>
      <c r="H20" s="124"/>
    </row>
    <row r="21" spans="1:8" ht="18" customHeight="1" x14ac:dyDescent="0.2">
      <c r="A21" s="110" t="s">
        <v>190</v>
      </c>
      <c r="B21" s="124"/>
      <c r="C21" s="124"/>
      <c r="D21" s="124"/>
      <c r="E21" s="124"/>
      <c r="F21" s="124"/>
      <c r="G21" s="124"/>
      <c r="H21" s="124"/>
    </row>
    <row r="22" spans="1:8" ht="18" customHeight="1" x14ac:dyDescent="0.2">
      <c r="A22" s="110" t="s">
        <v>191</v>
      </c>
      <c r="B22" s="124"/>
      <c r="C22" s="124"/>
      <c r="D22" s="124"/>
      <c r="E22" s="124"/>
      <c r="F22" s="124"/>
      <c r="G22" s="124"/>
      <c r="H22" s="124"/>
    </row>
    <row r="23" spans="1:8" ht="8.25" customHeight="1" x14ac:dyDescent="0.2">
      <c r="A23" s="128"/>
      <c r="B23" s="124"/>
      <c r="C23" s="124"/>
      <c r="D23" s="124"/>
      <c r="E23" s="124"/>
      <c r="F23" s="124"/>
      <c r="G23" s="124"/>
      <c r="H23" s="124"/>
    </row>
    <row r="24" spans="1:8" ht="18" customHeight="1" x14ac:dyDescent="0.2">
      <c r="A24" s="110" t="s">
        <v>192</v>
      </c>
      <c r="B24" s="124"/>
      <c r="C24" s="124"/>
      <c r="D24" s="124"/>
      <c r="E24" s="124"/>
      <c r="F24" s="124"/>
      <c r="G24" s="124"/>
      <c r="H24" s="124"/>
    </row>
    <row r="25" spans="1:8" ht="18" customHeight="1" x14ac:dyDescent="0.2">
      <c r="A25" s="110" t="s">
        <v>193</v>
      </c>
      <c r="B25" s="124"/>
      <c r="C25" s="124"/>
      <c r="D25" s="124"/>
      <c r="E25" s="124"/>
      <c r="F25" s="124"/>
      <c r="G25" s="124"/>
      <c r="H25" s="124"/>
    </row>
    <row r="26" spans="1:8" ht="45" customHeight="1" x14ac:dyDescent="0.2">
      <c r="A26" s="205" t="s">
        <v>194</v>
      </c>
      <c r="B26" s="129"/>
      <c r="C26" s="129"/>
      <c r="D26" s="129"/>
      <c r="E26" s="129"/>
      <c r="F26" s="129"/>
      <c r="G26" s="129"/>
      <c r="H26" s="129"/>
    </row>
    <row r="27" spans="1:8" ht="18" customHeight="1" x14ac:dyDescent="0.2">
      <c r="A27" s="110" t="s">
        <v>147</v>
      </c>
      <c r="B27" s="130"/>
      <c r="C27" s="130"/>
      <c r="D27" s="130"/>
      <c r="E27" s="130"/>
      <c r="F27" s="130"/>
      <c r="G27" s="130"/>
      <c r="H27" s="130"/>
    </row>
    <row r="28" spans="1:8" ht="30" customHeight="1" x14ac:dyDescent="0.2">
      <c r="A28" s="80" t="s">
        <v>195</v>
      </c>
      <c r="B28" s="126">
        <f t="shared" ref="B28:H28" si="4">+B4+B8+B11+B15+B17+B18+B21+B22+B24+B25+B27</f>
        <v>0</v>
      </c>
      <c r="C28" s="126">
        <f t="shared" si="4"/>
        <v>0</v>
      </c>
      <c r="D28" s="126">
        <f t="shared" si="4"/>
        <v>0</v>
      </c>
      <c r="E28" s="126">
        <f t="shared" si="4"/>
        <v>0</v>
      </c>
      <c r="F28" s="126">
        <f t="shared" si="4"/>
        <v>0</v>
      </c>
      <c r="G28" s="126">
        <f t="shared" si="4"/>
        <v>0</v>
      </c>
      <c r="H28" s="126">
        <f t="shared" si="4"/>
        <v>0</v>
      </c>
    </row>
    <row r="29" spans="1:8" x14ac:dyDescent="0.2">
      <c r="A29" s="91"/>
      <c r="B29" s="103"/>
      <c r="C29" s="103"/>
      <c r="D29" s="103"/>
      <c r="E29" s="103"/>
      <c r="F29" s="103"/>
      <c r="G29" s="103"/>
      <c r="H29" s="103"/>
    </row>
    <row r="30" spans="1:8" x14ac:dyDescent="0.2">
      <c r="A30" s="104" t="s">
        <v>293</v>
      </c>
      <c r="B30" s="105"/>
      <c r="C30" s="105"/>
      <c r="D30" s="105"/>
      <c r="E30" s="105"/>
      <c r="F30" s="105"/>
      <c r="G30" s="105"/>
      <c r="H30" s="105"/>
    </row>
    <row r="31" spans="1:8" x14ac:dyDescent="0.2">
      <c r="B31" s="131"/>
      <c r="C31" s="131"/>
      <c r="D31" s="131"/>
      <c r="E31" s="131"/>
      <c r="F31" s="131"/>
      <c r="G31" s="131"/>
      <c r="H31" s="13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5"/>
  <sheetViews>
    <sheetView showGridLines="0" view="pageBreakPreview" zoomScaleNormal="100" zoomScaleSheetLayoutView="100" workbookViewId="0">
      <selection activeCell="B7" sqref="B7"/>
    </sheetView>
  </sheetViews>
  <sheetFormatPr baseColWidth="10" defaultRowHeight="12.75" x14ac:dyDescent="0.2"/>
  <cols>
    <col min="1" max="1" width="54.85546875" style="14" bestFit="1" customWidth="1"/>
    <col min="2" max="2" width="21.85546875" style="15" bestFit="1" customWidth="1"/>
    <col min="3" max="12" width="14.28515625" style="14" customWidth="1"/>
    <col min="13" max="13" width="12" style="14" bestFit="1" customWidth="1"/>
    <col min="14" max="14" width="12.7109375" style="14" customWidth="1"/>
    <col min="15" max="15" width="19.42578125" style="14" customWidth="1"/>
    <col min="16" max="256" width="11.42578125" style="14"/>
    <col min="257" max="257" width="54.85546875" style="14" bestFit="1" customWidth="1"/>
    <col min="258" max="258" width="21.85546875" style="14" bestFit="1" customWidth="1"/>
    <col min="259" max="268" width="14.28515625" style="14" customWidth="1"/>
    <col min="269" max="269" width="12" style="14" bestFit="1" customWidth="1"/>
    <col min="270" max="270" width="12.7109375" style="14" customWidth="1"/>
    <col min="271" max="271" width="19.42578125" style="14" customWidth="1"/>
    <col min="272" max="512" width="11.42578125" style="14"/>
    <col min="513" max="513" width="54.85546875" style="14" bestFit="1" customWidth="1"/>
    <col min="514" max="514" width="21.85546875" style="14" bestFit="1" customWidth="1"/>
    <col min="515" max="524" width="14.28515625" style="14" customWidth="1"/>
    <col min="525" max="525" width="12" style="14" bestFit="1" customWidth="1"/>
    <col min="526" max="526" width="12.7109375" style="14" customWidth="1"/>
    <col min="527" max="527" width="19.42578125" style="14" customWidth="1"/>
    <col min="528" max="768" width="11.42578125" style="14"/>
    <col min="769" max="769" width="54.85546875" style="14" bestFit="1" customWidth="1"/>
    <col min="770" max="770" width="21.85546875" style="14" bestFit="1" customWidth="1"/>
    <col min="771" max="780" width="14.28515625" style="14" customWidth="1"/>
    <col min="781" max="781" width="12" style="14" bestFit="1" customWidth="1"/>
    <col min="782" max="782" width="12.7109375" style="14" customWidth="1"/>
    <col min="783" max="783" width="19.42578125" style="14" customWidth="1"/>
    <col min="784" max="1024" width="11.42578125" style="14"/>
    <col min="1025" max="1025" width="54.85546875" style="14" bestFit="1" customWidth="1"/>
    <col min="1026" max="1026" width="21.85546875" style="14" bestFit="1" customWidth="1"/>
    <col min="1027" max="1036" width="14.28515625" style="14" customWidth="1"/>
    <col min="1037" max="1037" width="12" style="14" bestFit="1" customWidth="1"/>
    <col min="1038" max="1038" width="12.7109375" style="14" customWidth="1"/>
    <col min="1039" max="1039" width="19.42578125" style="14" customWidth="1"/>
    <col min="1040" max="1280" width="11.42578125" style="14"/>
    <col min="1281" max="1281" width="54.85546875" style="14" bestFit="1" customWidth="1"/>
    <col min="1282" max="1282" width="21.85546875" style="14" bestFit="1" customWidth="1"/>
    <col min="1283" max="1292" width="14.28515625" style="14" customWidth="1"/>
    <col min="1293" max="1293" width="12" style="14" bestFit="1" customWidth="1"/>
    <col min="1294" max="1294" width="12.7109375" style="14" customWidth="1"/>
    <col min="1295" max="1295" width="19.42578125" style="14" customWidth="1"/>
    <col min="1296" max="1536" width="11.42578125" style="14"/>
    <col min="1537" max="1537" width="54.85546875" style="14" bestFit="1" customWidth="1"/>
    <col min="1538" max="1538" width="21.85546875" style="14" bestFit="1" customWidth="1"/>
    <col min="1539" max="1548" width="14.28515625" style="14" customWidth="1"/>
    <col min="1549" max="1549" width="12" style="14" bestFit="1" customWidth="1"/>
    <col min="1550" max="1550" width="12.7109375" style="14" customWidth="1"/>
    <col min="1551" max="1551" width="19.42578125" style="14" customWidth="1"/>
    <col min="1552" max="1792" width="11.42578125" style="14"/>
    <col min="1793" max="1793" width="54.85546875" style="14" bestFit="1" customWidth="1"/>
    <col min="1794" max="1794" width="21.85546875" style="14" bestFit="1" customWidth="1"/>
    <col min="1795" max="1804" width="14.28515625" style="14" customWidth="1"/>
    <col min="1805" max="1805" width="12" style="14" bestFit="1" customWidth="1"/>
    <col min="1806" max="1806" width="12.7109375" style="14" customWidth="1"/>
    <col min="1807" max="1807" width="19.42578125" style="14" customWidth="1"/>
    <col min="1808" max="2048" width="11.42578125" style="14"/>
    <col min="2049" max="2049" width="54.85546875" style="14" bestFit="1" customWidth="1"/>
    <col min="2050" max="2050" width="21.85546875" style="14" bestFit="1" customWidth="1"/>
    <col min="2051" max="2060" width="14.28515625" style="14" customWidth="1"/>
    <col min="2061" max="2061" width="12" style="14" bestFit="1" customWidth="1"/>
    <col min="2062" max="2062" width="12.7109375" style="14" customWidth="1"/>
    <col min="2063" max="2063" width="19.42578125" style="14" customWidth="1"/>
    <col min="2064" max="2304" width="11.42578125" style="14"/>
    <col min="2305" max="2305" width="54.85546875" style="14" bestFit="1" customWidth="1"/>
    <col min="2306" max="2306" width="21.85546875" style="14" bestFit="1" customWidth="1"/>
    <col min="2307" max="2316" width="14.28515625" style="14" customWidth="1"/>
    <col min="2317" max="2317" width="12" style="14" bestFit="1" customWidth="1"/>
    <col min="2318" max="2318" width="12.7109375" style="14" customWidth="1"/>
    <col min="2319" max="2319" width="19.42578125" style="14" customWidth="1"/>
    <col min="2320" max="2560" width="11.42578125" style="14"/>
    <col min="2561" max="2561" width="54.85546875" style="14" bestFit="1" customWidth="1"/>
    <col min="2562" max="2562" width="21.85546875" style="14" bestFit="1" customWidth="1"/>
    <col min="2563" max="2572" width="14.28515625" style="14" customWidth="1"/>
    <col min="2573" max="2573" width="12" style="14" bestFit="1" customWidth="1"/>
    <col min="2574" max="2574" width="12.7109375" style="14" customWidth="1"/>
    <col min="2575" max="2575" width="19.42578125" style="14" customWidth="1"/>
    <col min="2576" max="2816" width="11.42578125" style="14"/>
    <col min="2817" max="2817" width="54.85546875" style="14" bestFit="1" customWidth="1"/>
    <col min="2818" max="2818" width="21.85546875" style="14" bestFit="1" customWidth="1"/>
    <col min="2819" max="2828" width="14.28515625" style="14" customWidth="1"/>
    <col min="2829" max="2829" width="12" style="14" bestFit="1" customWidth="1"/>
    <col min="2830" max="2830" width="12.7109375" style="14" customWidth="1"/>
    <col min="2831" max="2831" width="19.42578125" style="14" customWidth="1"/>
    <col min="2832" max="3072" width="11.42578125" style="14"/>
    <col min="3073" max="3073" width="54.85546875" style="14" bestFit="1" customWidth="1"/>
    <col min="3074" max="3074" width="21.85546875" style="14" bestFit="1" customWidth="1"/>
    <col min="3075" max="3084" width="14.28515625" style="14" customWidth="1"/>
    <col min="3085" max="3085" width="12" style="14" bestFit="1" customWidth="1"/>
    <col min="3086" max="3086" width="12.7109375" style="14" customWidth="1"/>
    <col min="3087" max="3087" width="19.42578125" style="14" customWidth="1"/>
    <col min="3088" max="3328" width="11.42578125" style="14"/>
    <col min="3329" max="3329" width="54.85546875" style="14" bestFit="1" customWidth="1"/>
    <col min="3330" max="3330" width="21.85546875" style="14" bestFit="1" customWidth="1"/>
    <col min="3331" max="3340" width="14.28515625" style="14" customWidth="1"/>
    <col min="3341" max="3341" width="12" style="14" bestFit="1" customWidth="1"/>
    <col min="3342" max="3342" width="12.7109375" style="14" customWidth="1"/>
    <col min="3343" max="3343" width="19.42578125" style="14" customWidth="1"/>
    <col min="3344" max="3584" width="11.42578125" style="14"/>
    <col min="3585" max="3585" width="54.85546875" style="14" bestFit="1" customWidth="1"/>
    <col min="3586" max="3586" width="21.85546875" style="14" bestFit="1" customWidth="1"/>
    <col min="3587" max="3596" width="14.28515625" style="14" customWidth="1"/>
    <col min="3597" max="3597" width="12" style="14" bestFit="1" customWidth="1"/>
    <col min="3598" max="3598" width="12.7109375" style="14" customWidth="1"/>
    <col min="3599" max="3599" width="19.42578125" style="14" customWidth="1"/>
    <col min="3600" max="3840" width="11.42578125" style="14"/>
    <col min="3841" max="3841" width="54.85546875" style="14" bestFit="1" customWidth="1"/>
    <col min="3842" max="3842" width="21.85546875" style="14" bestFit="1" customWidth="1"/>
    <col min="3843" max="3852" width="14.28515625" style="14" customWidth="1"/>
    <col min="3853" max="3853" width="12" style="14" bestFit="1" customWidth="1"/>
    <col min="3854" max="3854" width="12.7109375" style="14" customWidth="1"/>
    <col min="3855" max="3855" width="19.42578125" style="14" customWidth="1"/>
    <col min="3856" max="4096" width="11.42578125" style="14"/>
    <col min="4097" max="4097" width="54.85546875" style="14" bestFit="1" customWidth="1"/>
    <col min="4098" max="4098" width="21.85546875" style="14" bestFit="1" customWidth="1"/>
    <col min="4099" max="4108" width="14.28515625" style="14" customWidth="1"/>
    <col min="4109" max="4109" width="12" style="14" bestFit="1" customWidth="1"/>
    <col min="4110" max="4110" width="12.7109375" style="14" customWidth="1"/>
    <col min="4111" max="4111" width="19.42578125" style="14" customWidth="1"/>
    <col min="4112" max="4352" width="11.42578125" style="14"/>
    <col min="4353" max="4353" width="54.85546875" style="14" bestFit="1" customWidth="1"/>
    <col min="4354" max="4354" width="21.85546875" style="14" bestFit="1" customWidth="1"/>
    <col min="4355" max="4364" width="14.28515625" style="14" customWidth="1"/>
    <col min="4365" max="4365" width="12" style="14" bestFit="1" customWidth="1"/>
    <col min="4366" max="4366" width="12.7109375" style="14" customWidth="1"/>
    <col min="4367" max="4367" width="19.42578125" style="14" customWidth="1"/>
    <col min="4368" max="4608" width="11.42578125" style="14"/>
    <col min="4609" max="4609" width="54.85546875" style="14" bestFit="1" customWidth="1"/>
    <col min="4610" max="4610" width="21.85546875" style="14" bestFit="1" customWidth="1"/>
    <col min="4611" max="4620" width="14.28515625" style="14" customWidth="1"/>
    <col min="4621" max="4621" width="12" style="14" bestFit="1" customWidth="1"/>
    <col min="4622" max="4622" width="12.7109375" style="14" customWidth="1"/>
    <col min="4623" max="4623" width="19.42578125" style="14" customWidth="1"/>
    <col min="4624" max="4864" width="11.42578125" style="14"/>
    <col min="4865" max="4865" width="54.85546875" style="14" bestFit="1" customWidth="1"/>
    <col min="4866" max="4866" width="21.85546875" style="14" bestFit="1" customWidth="1"/>
    <col min="4867" max="4876" width="14.28515625" style="14" customWidth="1"/>
    <col min="4877" max="4877" width="12" style="14" bestFit="1" customWidth="1"/>
    <col min="4878" max="4878" width="12.7109375" style="14" customWidth="1"/>
    <col min="4879" max="4879" width="19.42578125" style="14" customWidth="1"/>
    <col min="4880" max="5120" width="11.42578125" style="14"/>
    <col min="5121" max="5121" width="54.85546875" style="14" bestFit="1" customWidth="1"/>
    <col min="5122" max="5122" width="21.85546875" style="14" bestFit="1" customWidth="1"/>
    <col min="5123" max="5132" width="14.28515625" style="14" customWidth="1"/>
    <col min="5133" max="5133" width="12" style="14" bestFit="1" customWidth="1"/>
    <col min="5134" max="5134" width="12.7109375" style="14" customWidth="1"/>
    <col min="5135" max="5135" width="19.42578125" style="14" customWidth="1"/>
    <col min="5136" max="5376" width="11.42578125" style="14"/>
    <col min="5377" max="5377" width="54.85546875" style="14" bestFit="1" customWidth="1"/>
    <col min="5378" max="5378" width="21.85546875" style="14" bestFit="1" customWidth="1"/>
    <col min="5379" max="5388" width="14.28515625" style="14" customWidth="1"/>
    <col min="5389" max="5389" width="12" style="14" bestFit="1" customWidth="1"/>
    <col min="5390" max="5390" width="12.7109375" style="14" customWidth="1"/>
    <col min="5391" max="5391" width="19.42578125" style="14" customWidth="1"/>
    <col min="5392" max="5632" width="11.42578125" style="14"/>
    <col min="5633" max="5633" width="54.85546875" style="14" bestFit="1" customWidth="1"/>
    <col min="5634" max="5634" width="21.85546875" style="14" bestFit="1" customWidth="1"/>
    <col min="5635" max="5644" width="14.28515625" style="14" customWidth="1"/>
    <col min="5645" max="5645" width="12" style="14" bestFit="1" customWidth="1"/>
    <col min="5646" max="5646" width="12.7109375" style="14" customWidth="1"/>
    <col min="5647" max="5647" width="19.42578125" style="14" customWidth="1"/>
    <col min="5648" max="5888" width="11.42578125" style="14"/>
    <col min="5889" max="5889" width="54.85546875" style="14" bestFit="1" customWidth="1"/>
    <col min="5890" max="5890" width="21.85546875" style="14" bestFit="1" customWidth="1"/>
    <col min="5891" max="5900" width="14.28515625" style="14" customWidth="1"/>
    <col min="5901" max="5901" width="12" style="14" bestFit="1" customWidth="1"/>
    <col min="5902" max="5902" width="12.7109375" style="14" customWidth="1"/>
    <col min="5903" max="5903" width="19.42578125" style="14" customWidth="1"/>
    <col min="5904" max="6144" width="11.42578125" style="14"/>
    <col min="6145" max="6145" width="54.85546875" style="14" bestFit="1" customWidth="1"/>
    <col min="6146" max="6146" width="21.85546875" style="14" bestFit="1" customWidth="1"/>
    <col min="6147" max="6156" width="14.28515625" style="14" customWidth="1"/>
    <col min="6157" max="6157" width="12" style="14" bestFit="1" customWidth="1"/>
    <col min="6158" max="6158" width="12.7109375" style="14" customWidth="1"/>
    <col min="6159" max="6159" width="19.42578125" style="14" customWidth="1"/>
    <col min="6160" max="6400" width="11.42578125" style="14"/>
    <col min="6401" max="6401" width="54.85546875" style="14" bestFit="1" customWidth="1"/>
    <col min="6402" max="6402" width="21.85546875" style="14" bestFit="1" customWidth="1"/>
    <col min="6403" max="6412" width="14.28515625" style="14" customWidth="1"/>
    <col min="6413" max="6413" width="12" style="14" bestFit="1" customWidth="1"/>
    <col min="6414" max="6414" width="12.7109375" style="14" customWidth="1"/>
    <col min="6415" max="6415" width="19.42578125" style="14" customWidth="1"/>
    <col min="6416" max="6656" width="11.42578125" style="14"/>
    <col min="6657" max="6657" width="54.85546875" style="14" bestFit="1" customWidth="1"/>
    <col min="6658" max="6658" width="21.85546875" style="14" bestFit="1" customWidth="1"/>
    <col min="6659" max="6668" width="14.28515625" style="14" customWidth="1"/>
    <col min="6669" max="6669" width="12" style="14" bestFit="1" customWidth="1"/>
    <col min="6670" max="6670" width="12.7109375" style="14" customWidth="1"/>
    <col min="6671" max="6671" width="19.42578125" style="14" customWidth="1"/>
    <col min="6672" max="6912" width="11.42578125" style="14"/>
    <col min="6913" max="6913" width="54.85546875" style="14" bestFit="1" customWidth="1"/>
    <col min="6914" max="6914" width="21.85546875" style="14" bestFit="1" customWidth="1"/>
    <col min="6915" max="6924" width="14.28515625" style="14" customWidth="1"/>
    <col min="6925" max="6925" width="12" style="14" bestFit="1" customWidth="1"/>
    <col min="6926" max="6926" width="12.7109375" style="14" customWidth="1"/>
    <col min="6927" max="6927" width="19.42578125" style="14" customWidth="1"/>
    <col min="6928" max="7168" width="11.42578125" style="14"/>
    <col min="7169" max="7169" width="54.85546875" style="14" bestFit="1" customWidth="1"/>
    <col min="7170" max="7170" width="21.85546875" style="14" bestFit="1" customWidth="1"/>
    <col min="7171" max="7180" width="14.28515625" style="14" customWidth="1"/>
    <col min="7181" max="7181" width="12" style="14" bestFit="1" customWidth="1"/>
    <col min="7182" max="7182" width="12.7109375" style="14" customWidth="1"/>
    <col min="7183" max="7183" width="19.42578125" style="14" customWidth="1"/>
    <col min="7184" max="7424" width="11.42578125" style="14"/>
    <col min="7425" max="7425" width="54.85546875" style="14" bestFit="1" customWidth="1"/>
    <col min="7426" max="7426" width="21.85546875" style="14" bestFit="1" customWidth="1"/>
    <col min="7427" max="7436" width="14.28515625" style="14" customWidth="1"/>
    <col min="7437" max="7437" width="12" style="14" bestFit="1" customWidth="1"/>
    <col min="7438" max="7438" width="12.7109375" style="14" customWidth="1"/>
    <col min="7439" max="7439" width="19.42578125" style="14" customWidth="1"/>
    <col min="7440" max="7680" width="11.42578125" style="14"/>
    <col min="7681" max="7681" width="54.85546875" style="14" bestFit="1" customWidth="1"/>
    <col min="7682" max="7682" width="21.85546875" style="14" bestFit="1" customWidth="1"/>
    <col min="7683" max="7692" width="14.28515625" style="14" customWidth="1"/>
    <col min="7693" max="7693" width="12" style="14" bestFit="1" customWidth="1"/>
    <col min="7694" max="7694" width="12.7109375" style="14" customWidth="1"/>
    <col min="7695" max="7695" width="19.42578125" style="14" customWidth="1"/>
    <col min="7696" max="7936" width="11.42578125" style="14"/>
    <col min="7937" max="7937" width="54.85546875" style="14" bestFit="1" customWidth="1"/>
    <col min="7938" max="7938" width="21.85546875" style="14" bestFit="1" customWidth="1"/>
    <col min="7939" max="7948" width="14.28515625" style="14" customWidth="1"/>
    <col min="7949" max="7949" width="12" style="14" bestFit="1" customWidth="1"/>
    <col min="7950" max="7950" width="12.7109375" style="14" customWidth="1"/>
    <col min="7951" max="7951" width="19.42578125" style="14" customWidth="1"/>
    <col min="7952" max="8192" width="11.42578125" style="14"/>
    <col min="8193" max="8193" width="54.85546875" style="14" bestFit="1" customWidth="1"/>
    <col min="8194" max="8194" width="21.85546875" style="14" bestFit="1" customWidth="1"/>
    <col min="8195" max="8204" width="14.28515625" style="14" customWidth="1"/>
    <col min="8205" max="8205" width="12" style="14" bestFit="1" customWidth="1"/>
    <col min="8206" max="8206" width="12.7109375" style="14" customWidth="1"/>
    <col min="8207" max="8207" width="19.42578125" style="14" customWidth="1"/>
    <col min="8208" max="8448" width="11.42578125" style="14"/>
    <col min="8449" max="8449" width="54.85546875" style="14" bestFit="1" customWidth="1"/>
    <col min="8450" max="8450" width="21.85546875" style="14" bestFit="1" customWidth="1"/>
    <col min="8451" max="8460" width="14.28515625" style="14" customWidth="1"/>
    <col min="8461" max="8461" width="12" style="14" bestFit="1" customWidth="1"/>
    <col min="8462" max="8462" width="12.7109375" style="14" customWidth="1"/>
    <col min="8463" max="8463" width="19.42578125" style="14" customWidth="1"/>
    <col min="8464" max="8704" width="11.42578125" style="14"/>
    <col min="8705" max="8705" width="54.85546875" style="14" bestFit="1" customWidth="1"/>
    <col min="8706" max="8706" width="21.85546875" style="14" bestFit="1" customWidth="1"/>
    <col min="8707" max="8716" width="14.28515625" style="14" customWidth="1"/>
    <col min="8717" max="8717" width="12" style="14" bestFit="1" customWidth="1"/>
    <col min="8718" max="8718" width="12.7109375" style="14" customWidth="1"/>
    <col min="8719" max="8719" width="19.42578125" style="14" customWidth="1"/>
    <col min="8720" max="8960" width="11.42578125" style="14"/>
    <col min="8961" max="8961" width="54.85546875" style="14" bestFit="1" customWidth="1"/>
    <col min="8962" max="8962" width="21.85546875" style="14" bestFit="1" customWidth="1"/>
    <col min="8963" max="8972" width="14.28515625" style="14" customWidth="1"/>
    <col min="8973" max="8973" width="12" style="14" bestFit="1" customWidth="1"/>
    <col min="8974" max="8974" width="12.7109375" style="14" customWidth="1"/>
    <col min="8975" max="8975" width="19.42578125" style="14" customWidth="1"/>
    <col min="8976" max="9216" width="11.42578125" style="14"/>
    <col min="9217" max="9217" width="54.85546875" style="14" bestFit="1" customWidth="1"/>
    <col min="9218" max="9218" width="21.85546875" style="14" bestFit="1" customWidth="1"/>
    <col min="9219" max="9228" width="14.28515625" style="14" customWidth="1"/>
    <col min="9229" max="9229" width="12" style="14" bestFit="1" customWidth="1"/>
    <col min="9230" max="9230" width="12.7109375" style="14" customWidth="1"/>
    <col min="9231" max="9231" width="19.42578125" style="14" customWidth="1"/>
    <col min="9232" max="9472" width="11.42578125" style="14"/>
    <col min="9473" max="9473" width="54.85546875" style="14" bestFit="1" customWidth="1"/>
    <col min="9474" max="9474" width="21.85546875" style="14" bestFit="1" customWidth="1"/>
    <col min="9475" max="9484" width="14.28515625" style="14" customWidth="1"/>
    <col min="9485" max="9485" width="12" style="14" bestFit="1" customWidth="1"/>
    <col min="9486" max="9486" width="12.7109375" style="14" customWidth="1"/>
    <col min="9487" max="9487" width="19.42578125" style="14" customWidth="1"/>
    <col min="9488" max="9728" width="11.42578125" style="14"/>
    <col min="9729" max="9729" width="54.85546875" style="14" bestFit="1" customWidth="1"/>
    <col min="9730" max="9730" width="21.85546875" style="14" bestFit="1" customWidth="1"/>
    <col min="9731" max="9740" width="14.28515625" style="14" customWidth="1"/>
    <col min="9741" max="9741" width="12" style="14" bestFit="1" customWidth="1"/>
    <col min="9742" max="9742" width="12.7109375" style="14" customWidth="1"/>
    <col min="9743" max="9743" width="19.42578125" style="14" customWidth="1"/>
    <col min="9744" max="9984" width="11.42578125" style="14"/>
    <col min="9985" max="9985" width="54.85546875" style="14" bestFit="1" customWidth="1"/>
    <col min="9986" max="9986" width="21.85546875" style="14" bestFit="1" customWidth="1"/>
    <col min="9987" max="9996" width="14.28515625" style="14" customWidth="1"/>
    <col min="9997" max="9997" width="12" style="14" bestFit="1" customWidth="1"/>
    <col min="9998" max="9998" width="12.7109375" style="14" customWidth="1"/>
    <col min="9999" max="9999" width="19.42578125" style="14" customWidth="1"/>
    <col min="10000" max="10240" width="11.42578125" style="14"/>
    <col min="10241" max="10241" width="54.85546875" style="14" bestFit="1" customWidth="1"/>
    <col min="10242" max="10242" width="21.85546875" style="14" bestFit="1" customWidth="1"/>
    <col min="10243" max="10252" width="14.28515625" style="14" customWidth="1"/>
    <col min="10253" max="10253" width="12" style="14" bestFit="1" customWidth="1"/>
    <col min="10254" max="10254" width="12.7109375" style="14" customWidth="1"/>
    <col min="10255" max="10255" width="19.42578125" style="14" customWidth="1"/>
    <col min="10256" max="10496" width="11.42578125" style="14"/>
    <col min="10497" max="10497" width="54.85546875" style="14" bestFit="1" customWidth="1"/>
    <col min="10498" max="10498" width="21.85546875" style="14" bestFit="1" customWidth="1"/>
    <col min="10499" max="10508" width="14.28515625" style="14" customWidth="1"/>
    <col min="10509" max="10509" width="12" style="14" bestFit="1" customWidth="1"/>
    <col min="10510" max="10510" width="12.7109375" style="14" customWidth="1"/>
    <col min="10511" max="10511" width="19.42578125" style="14" customWidth="1"/>
    <col min="10512" max="10752" width="11.42578125" style="14"/>
    <col min="10753" max="10753" width="54.85546875" style="14" bestFit="1" customWidth="1"/>
    <col min="10754" max="10754" width="21.85546875" style="14" bestFit="1" customWidth="1"/>
    <col min="10755" max="10764" width="14.28515625" style="14" customWidth="1"/>
    <col min="10765" max="10765" width="12" style="14" bestFit="1" customWidth="1"/>
    <col min="10766" max="10766" width="12.7109375" style="14" customWidth="1"/>
    <col min="10767" max="10767" width="19.42578125" style="14" customWidth="1"/>
    <col min="10768" max="11008" width="11.42578125" style="14"/>
    <col min="11009" max="11009" width="54.85546875" style="14" bestFit="1" customWidth="1"/>
    <col min="11010" max="11010" width="21.85546875" style="14" bestFit="1" customWidth="1"/>
    <col min="11011" max="11020" width="14.28515625" style="14" customWidth="1"/>
    <col min="11021" max="11021" width="12" style="14" bestFit="1" customWidth="1"/>
    <col min="11022" max="11022" width="12.7109375" style="14" customWidth="1"/>
    <col min="11023" max="11023" width="19.42578125" style="14" customWidth="1"/>
    <col min="11024" max="11264" width="11.42578125" style="14"/>
    <col min="11265" max="11265" width="54.85546875" style="14" bestFit="1" customWidth="1"/>
    <col min="11266" max="11266" width="21.85546875" style="14" bestFit="1" customWidth="1"/>
    <col min="11267" max="11276" width="14.28515625" style="14" customWidth="1"/>
    <col min="11277" max="11277" width="12" style="14" bestFit="1" customWidth="1"/>
    <col min="11278" max="11278" width="12.7109375" style="14" customWidth="1"/>
    <col min="11279" max="11279" width="19.42578125" style="14" customWidth="1"/>
    <col min="11280" max="11520" width="11.42578125" style="14"/>
    <col min="11521" max="11521" width="54.85546875" style="14" bestFit="1" customWidth="1"/>
    <col min="11522" max="11522" width="21.85546875" style="14" bestFit="1" customWidth="1"/>
    <col min="11523" max="11532" width="14.28515625" style="14" customWidth="1"/>
    <col min="11533" max="11533" width="12" style="14" bestFit="1" customWidth="1"/>
    <col min="11534" max="11534" width="12.7109375" style="14" customWidth="1"/>
    <col min="11535" max="11535" width="19.42578125" style="14" customWidth="1"/>
    <col min="11536" max="11776" width="11.42578125" style="14"/>
    <col min="11777" max="11777" width="54.85546875" style="14" bestFit="1" customWidth="1"/>
    <col min="11778" max="11778" width="21.85546875" style="14" bestFit="1" customWidth="1"/>
    <col min="11779" max="11788" width="14.28515625" style="14" customWidth="1"/>
    <col min="11789" max="11789" width="12" style="14" bestFit="1" customWidth="1"/>
    <col min="11790" max="11790" width="12.7109375" style="14" customWidth="1"/>
    <col min="11791" max="11791" width="19.42578125" style="14" customWidth="1"/>
    <col min="11792" max="12032" width="11.42578125" style="14"/>
    <col min="12033" max="12033" width="54.85546875" style="14" bestFit="1" customWidth="1"/>
    <col min="12034" max="12034" width="21.85546875" style="14" bestFit="1" customWidth="1"/>
    <col min="12035" max="12044" width="14.28515625" style="14" customWidth="1"/>
    <col min="12045" max="12045" width="12" style="14" bestFit="1" customWidth="1"/>
    <col min="12046" max="12046" width="12.7109375" style="14" customWidth="1"/>
    <col min="12047" max="12047" width="19.42578125" style="14" customWidth="1"/>
    <col min="12048" max="12288" width="11.42578125" style="14"/>
    <col min="12289" max="12289" width="54.85546875" style="14" bestFit="1" customWidth="1"/>
    <col min="12290" max="12290" width="21.85546875" style="14" bestFit="1" customWidth="1"/>
    <col min="12291" max="12300" width="14.28515625" style="14" customWidth="1"/>
    <col min="12301" max="12301" width="12" style="14" bestFit="1" customWidth="1"/>
    <col min="12302" max="12302" width="12.7109375" style="14" customWidth="1"/>
    <col min="12303" max="12303" width="19.42578125" style="14" customWidth="1"/>
    <col min="12304" max="12544" width="11.42578125" style="14"/>
    <col min="12545" max="12545" width="54.85546875" style="14" bestFit="1" customWidth="1"/>
    <col min="12546" max="12546" width="21.85546875" style="14" bestFit="1" customWidth="1"/>
    <col min="12547" max="12556" width="14.28515625" style="14" customWidth="1"/>
    <col min="12557" max="12557" width="12" style="14" bestFit="1" customWidth="1"/>
    <col min="12558" max="12558" width="12.7109375" style="14" customWidth="1"/>
    <col min="12559" max="12559" width="19.42578125" style="14" customWidth="1"/>
    <col min="12560" max="12800" width="11.42578125" style="14"/>
    <col min="12801" max="12801" width="54.85546875" style="14" bestFit="1" customWidth="1"/>
    <col min="12802" max="12802" width="21.85546875" style="14" bestFit="1" customWidth="1"/>
    <col min="12803" max="12812" width="14.28515625" style="14" customWidth="1"/>
    <col min="12813" max="12813" width="12" style="14" bestFit="1" customWidth="1"/>
    <col min="12814" max="12814" width="12.7109375" style="14" customWidth="1"/>
    <col min="12815" max="12815" width="19.42578125" style="14" customWidth="1"/>
    <col min="12816" max="13056" width="11.42578125" style="14"/>
    <col min="13057" max="13057" width="54.85546875" style="14" bestFit="1" customWidth="1"/>
    <col min="13058" max="13058" width="21.85546875" style="14" bestFit="1" customWidth="1"/>
    <col min="13059" max="13068" width="14.28515625" style="14" customWidth="1"/>
    <col min="13069" max="13069" width="12" style="14" bestFit="1" customWidth="1"/>
    <col min="13070" max="13070" width="12.7109375" style="14" customWidth="1"/>
    <col min="13071" max="13071" width="19.42578125" style="14" customWidth="1"/>
    <col min="13072" max="13312" width="11.42578125" style="14"/>
    <col min="13313" max="13313" width="54.85546875" style="14" bestFit="1" customWidth="1"/>
    <col min="13314" max="13314" width="21.85546875" style="14" bestFit="1" customWidth="1"/>
    <col min="13315" max="13324" width="14.28515625" style="14" customWidth="1"/>
    <col min="13325" max="13325" width="12" style="14" bestFit="1" customWidth="1"/>
    <col min="13326" max="13326" width="12.7109375" style="14" customWidth="1"/>
    <col min="13327" max="13327" width="19.42578125" style="14" customWidth="1"/>
    <col min="13328" max="13568" width="11.42578125" style="14"/>
    <col min="13569" max="13569" width="54.85546875" style="14" bestFit="1" customWidth="1"/>
    <col min="13570" max="13570" width="21.85546875" style="14" bestFit="1" customWidth="1"/>
    <col min="13571" max="13580" width="14.28515625" style="14" customWidth="1"/>
    <col min="13581" max="13581" width="12" style="14" bestFit="1" customWidth="1"/>
    <col min="13582" max="13582" width="12.7109375" style="14" customWidth="1"/>
    <col min="13583" max="13583" width="19.42578125" style="14" customWidth="1"/>
    <col min="13584" max="13824" width="11.42578125" style="14"/>
    <col min="13825" max="13825" width="54.85546875" style="14" bestFit="1" customWidth="1"/>
    <col min="13826" max="13826" width="21.85546875" style="14" bestFit="1" customWidth="1"/>
    <col min="13827" max="13836" width="14.28515625" style="14" customWidth="1"/>
    <col min="13837" max="13837" width="12" style="14" bestFit="1" customWidth="1"/>
    <col min="13838" max="13838" width="12.7109375" style="14" customWidth="1"/>
    <col min="13839" max="13839" width="19.42578125" style="14" customWidth="1"/>
    <col min="13840" max="14080" width="11.42578125" style="14"/>
    <col min="14081" max="14081" width="54.85546875" style="14" bestFit="1" customWidth="1"/>
    <col min="14082" max="14082" width="21.85546875" style="14" bestFit="1" customWidth="1"/>
    <col min="14083" max="14092" width="14.28515625" style="14" customWidth="1"/>
    <col min="14093" max="14093" width="12" style="14" bestFit="1" customWidth="1"/>
    <col min="14094" max="14094" width="12.7109375" style="14" customWidth="1"/>
    <col min="14095" max="14095" width="19.42578125" style="14" customWidth="1"/>
    <col min="14096" max="14336" width="11.42578125" style="14"/>
    <col min="14337" max="14337" width="54.85546875" style="14" bestFit="1" customWidth="1"/>
    <col min="14338" max="14338" width="21.85546875" style="14" bestFit="1" customWidth="1"/>
    <col min="14339" max="14348" width="14.28515625" style="14" customWidth="1"/>
    <col min="14349" max="14349" width="12" style="14" bestFit="1" customWidth="1"/>
    <col min="14350" max="14350" width="12.7109375" style="14" customWidth="1"/>
    <col min="14351" max="14351" width="19.42578125" style="14" customWidth="1"/>
    <col min="14352" max="14592" width="11.42578125" style="14"/>
    <col min="14593" max="14593" width="54.85546875" style="14" bestFit="1" customWidth="1"/>
    <col min="14594" max="14594" width="21.85546875" style="14" bestFit="1" customWidth="1"/>
    <col min="14595" max="14604" width="14.28515625" style="14" customWidth="1"/>
    <col min="14605" max="14605" width="12" style="14" bestFit="1" customWidth="1"/>
    <col min="14606" max="14606" width="12.7109375" style="14" customWidth="1"/>
    <col min="14607" max="14607" width="19.42578125" style="14" customWidth="1"/>
    <col min="14608" max="14848" width="11.42578125" style="14"/>
    <col min="14849" max="14849" width="54.85546875" style="14" bestFit="1" customWidth="1"/>
    <col min="14850" max="14850" width="21.85546875" style="14" bestFit="1" customWidth="1"/>
    <col min="14851" max="14860" width="14.28515625" style="14" customWidth="1"/>
    <col min="14861" max="14861" width="12" style="14" bestFit="1" customWidth="1"/>
    <col min="14862" max="14862" width="12.7109375" style="14" customWidth="1"/>
    <col min="14863" max="14863" width="19.42578125" style="14" customWidth="1"/>
    <col min="14864" max="15104" width="11.42578125" style="14"/>
    <col min="15105" max="15105" width="54.85546875" style="14" bestFit="1" customWidth="1"/>
    <col min="15106" max="15106" width="21.85546875" style="14" bestFit="1" customWidth="1"/>
    <col min="15107" max="15116" width="14.28515625" style="14" customWidth="1"/>
    <col min="15117" max="15117" width="12" style="14" bestFit="1" customWidth="1"/>
    <col min="15118" max="15118" width="12.7109375" style="14" customWidth="1"/>
    <col min="15119" max="15119" width="19.42578125" style="14" customWidth="1"/>
    <col min="15120" max="15360" width="11.42578125" style="14"/>
    <col min="15361" max="15361" width="54.85546875" style="14" bestFit="1" customWidth="1"/>
    <col min="15362" max="15362" width="21.85546875" style="14" bestFit="1" customWidth="1"/>
    <col min="15363" max="15372" width="14.28515625" style="14" customWidth="1"/>
    <col min="15373" max="15373" width="12" style="14" bestFit="1" customWidth="1"/>
    <col min="15374" max="15374" width="12.7109375" style="14" customWidth="1"/>
    <col min="15375" max="15375" width="19.42578125" style="14" customWidth="1"/>
    <col min="15376" max="15616" width="11.42578125" style="14"/>
    <col min="15617" max="15617" width="54.85546875" style="14" bestFit="1" customWidth="1"/>
    <col min="15618" max="15618" width="21.85546875" style="14" bestFit="1" customWidth="1"/>
    <col min="15619" max="15628" width="14.28515625" style="14" customWidth="1"/>
    <col min="15629" max="15629" width="12" style="14" bestFit="1" customWidth="1"/>
    <col min="15630" max="15630" width="12.7109375" style="14" customWidth="1"/>
    <col min="15631" max="15631" width="19.42578125" style="14" customWidth="1"/>
    <col min="15632" max="15872" width="11.42578125" style="14"/>
    <col min="15873" max="15873" width="54.85546875" style="14" bestFit="1" customWidth="1"/>
    <col min="15874" max="15874" width="21.85546875" style="14" bestFit="1" customWidth="1"/>
    <col min="15875" max="15884" width="14.28515625" style="14" customWidth="1"/>
    <col min="15885" max="15885" width="12" style="14" bestFit="1" customWidth="1"/>
    <col min="15886" max="15886" width="12.7109375" style="14" customWidth="1"/>
    <col min="15887" max="15887" width="19.42578125" style="14" customWidth="1"/>
    <col min="15888" max="16128" width="11.42578125" style="14"/>
    <col min="16129" max="16129" width="54.85546875" style="14" bestFit="1" customWidth="1"/>
    <col min="16130" max="16130" width="21.85546875" style="14" bestFit="1" customWidth="1"/>
    <col min="16131" max="16140" width="14.28515625" style="14" customWidth="1"/>
    <col min="16141" max="16141" width="12" style="14" bestFit="1" customWidth="1"/>
    <col min="16142" max="16142" width="12.7109375" style="14" customWidth="1"/>
    <col min="16143" max="16143" width="19.42578125" style="14" customWidth="1"/>
    <col min="16144" max="16384" width="11.42578125" style="14"/>
  </cols>
  <sheetData>
    <row r="1" spans="1:15" s="17" customFormat="1" x14ac:dyDescent="0.25">
      <c r="A1" s="281" t="s">
        <v>134</v>
      </c>
      <c r="B1" s="283" t="s">
        <v>328</v>
      </c>
      <c r="C1" s="285">
        <v>2026</v>
      </c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6"/>
    </row>
    <row r="2" spans="1:15" s="17" customFormat="1" ht="13.5" thickBot="1" x14ac:dyDescent="0.3">
      <c r="A2" s="282"/>
      <c r="B2" s="284"/>
      <c r="C2" s="2" t="s">
        <v>197</v>
      </c>
      <c r="D2" s="2" t="s">
        <v>198</v>
      </c>
      <c r="E2" s="2" t="s">
        <v>199</v>
      </c>
      <c r="F2" s="2" t="s">
        <v>200</v>
      </c>
      <c r="G2" s="2" t="s">
        <v>201</v>
      </c>
      <c r="H2" s="2" t="s">
        <v>202</v>
      </c>
      <c r="I2" s="2" t="s">
        <v>203</v>
      </c>
      <c r="J2" s="2" t="s">
        <v>204</v>
      </c>
      <c r="K2" s="2" t="s">
        <v>205</v>
      </c>
      <c r="L2" s="2" t="s">
        <v>206</v>
      </c>
      <c r="M2" s="2" t="s">
        <v>207</v>
      </c>
      <c r="N2" s="2" t="s">
        <v>208</v>
      </c>
      <c r="O2" s="3" t="s">
        <v>209</v>
      </c>
    </row>
    <row r="3" spans="1:15" s="22" customFormat="1" ht="13.5" thickBot="1" x14ac:dyDescent="0.3">
      <c r="A3" s="18" t="s">
        <v>210</v>
      </c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1:15" x14ac:dyDescent="0.2">
      <c r="A4" s="23" t="s">
        <v>211</v>
      </c>
      <c r="B4" s="24">
        <f>+B5+B11+B25+B36+B41+B42</f>
        <v>0</v>
      </c>
      <c r="C4" s="24">
        <f t="shared" ref="C4:O4" si="0">+C5+C11+C25+C36+C41+C42</f>
        <v>0</v>
      </c>
      <c r="D4" s="24">
        <f t="shared" si="0"/>
        <v>0</v>
      </c>
      <c r="E4" s="24">
        <f t="shared" si="0"/>
        <v>0</v>
      </c>
      <c r="F4" s="24">
        <f t="shared" si="0"/>
        <v>0</v>
      </c>
      <c r="G4" s="24">
        <f t="shared" si="0"/>
        <v>0</v>
      </c>
      <c r="H4" s="24">
        <f t="shared" si="0"/>
        <v>0</v>
      </c>
      <c r="I4" s="24">
        <f t="shared" si="0"/>
        <v>0</v>
      </c>
      <c r="J4" s="24">
        <f t="shared" si="0"/>
        <v>0</v>
      </c>
      <c r="K4" s="24">
        <f t="shared" si="0"/>
        <v>0</v>
      </c>
      <c r="L4" s="24">
        <f t="shared" si="0"/>
        <v>0</v>
      </c>
      <c r="M4" s="24">
        <f t="shared" si="0"/>
        <v>0</v>
      </c>
      <c r="N4" s="24">
        <f t="shared" si="0"/>
        <v>0</v>
      </c>
      <c r="O4" s="29">
        <f t="shared" si="0"/>
        <v>0</v>
      </c>
    </row>
    <row r="5" spans="1:15" x14ac:dyDescent="0.2">
      <c r="A5" s="4" t="s">
        <v>212</v>
      </c>
      <c r="B5" s="5">
        <f>SUM(B6:B9)</f>
        <v>0</v>
      </c>
      <c r="C5" s="5">
        <f t="shared" ref="C5:O5" si="1">SUM(C6:C9)</f>
        <v>0</v>
      </c>
      <c r="D5" s="5">
        <f t="shared" si="1"/>
        <v>0</v>
      </c>
      <c r="E5" s="5">
        <f t="shared" si="1"/>
        <v>0</v>
      </c>
      <c r="F5" s="5">
        <f t="shared" si="1"/>
        <v>0</v>
      </c>
      <c r="G5" s="5">
        <f t="shared" si="1"/>
        <v>0</v>
      </c>
      <c r="H5" s="5">
        <f t="shared" si="1"/>
        <v>0</v>
      </c>
      <c r="I5" s="5">
        <f t="shared" si="1"/>
        <v>0</v>
      </c>
      <c r="J5" s="5">
        <f t="shared" si="1"/>
        <v>0</v>
      </c>
      <c r="K5" s="5">
        <f t="shared" si="1"/>
        <v>0</v>
      </c>
      <c r="L5" s="5">
        <f t="shared" si="1"/>
        <v>0</v>
      </c>
      <c r="M5" s="5">
        <f t="shared" si="1"/>
        <v>0</v>
      </c>
      <c r="N5" s="5">
        <f t="shared" si="1"/>
        <v>0</v>
      </c>
      <c r="O5" s="30">
        <f t="shared" si="1"/>
        <v>0</v>
      </c>
    </row>
    <row r="6" spans="1:15" x14ac:dyDescent="0.2">
      <c r="A6" s="38" t="s">
        <v>213</v>
      </c>
      <c r="B6" s="68">
        <v>0</v>
      </c>
      <c r="C6" s="68">
        <v>0</v>
      </c>
      <c r="D6" s="68">
        <v>0</v>
      </c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9">
        <v>0</v>
      </c>
    </row>
    <row r="7" spans="1:15" x14ac:dyDescent="0.2">
      <c r="A7" s="38" t="s">
        <v>168</v>
      </c>
      <c r="B7" s="68">
        <v>0</v>
      </c>
      <c r="C7" s="68">
        <v>0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9">
        <v>0</v>
      </c>
    </row>
    <row r="8" spans="1:15" x14ac:dyDescent="0.2">
      <c r="A8" s="38" t="s">
        <v>214</v>
      </c>
      <c r="B8" s="68">
        <v>0</v>
      </c>
      <c r="C8" s="68">
        <v>0</v>
      </c>
      <c r="D8" s="68">
        <v>0</v>
      </c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9">
        <v>0</v>
      </c>
    </row>
    <row r="9" spans="1:15" x14ac:dyDescent="0.2">
      <c r="A9" s="38" t="s">
        <v>215</v>
      </c>
      <c r="B9" s="68">
        <v>0</v>
      </c>
      <c r="C9" s="68">
        <v>0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9">
        <v>0</v>
      </c>
    </row>
    <row r="10" spans="1:15" x14ac:dyDescent="0.2">
      <c r="A10" s="38" t="s">
        <v>329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9"/>
    </row>
    <row r="11" spans="1:15" x14ac:dyDescent="0.2">
      <c r="A11" s="4" t="s">
        <v>216</v>
      </c>
      <c r="B11" s="5">
        <f>SUM(B12:B24)</f>
        <v>0</v>
      </c>
      <c r="C11" s="5">
        <f t="shared" ref="C11:O11" si="2">SUM(C12:C24)</f>
        <v>0</v>
      </c>
      <c r="D11" s="5">
        <f t="shared" si="2"/>
        <v>0</v>
      </c>
      <c r="E11" s="5">
        <f t="shared" si="2"/>
        <v>0</v>
      </c>
      <c r="F11" s="5">
        <f t="shared" si="2"/>
        <v>0</v>
      </c>
      <c r="G11" s="5">
        <f t="shared" si="2"/>
        <v>0</v>
      </c>
      <c r="H11" s="5">
        <f t="shared" si="2"/>
        <v>0</v>
      </c>
      <c r="I11" s="5">
        <f t="shared" si="2"/>
        <v>0</v>
      </c>
      <c r="J11" s="5">
        <f t="shared" si="2"/>
        <v>0</v>
      </c>
      <c r="K11" s="5">
        <f t="shared" si="2"/>
        <v>0</v>
      </c>
      <c r="L11" s="5">
        <f t="shared" si="2"/>
        <v>0</v>
      </c>
      <c r="M11" s="5">
        <f t="shared" si="2"/>
        <v>0</v>
      </c>
      <c r="N11" s="5">
        <f t="shared" si="2"/>
        <v>0</v>
      </c>
      <c r="O11" s="30">
        <f t="shared" si="2"/>
        <v>0</v>
      </c>
    </row>
    <row r="12" spans="1:15" x14ac:dyDescent="0.2">
      <c r="A12" s="38" t="s">
        <v>217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7">
        <v>0</v>
      </c>
    </row>
    <row r="13" spans="1:15" x14ac:dyDescent="0.2">
      <c r="A13" s="38" t="s">
        <v>218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7">
        <v>0</v>
      </c>
    </row>
    <row r="14" spans="1:15" x14ac:dyDescent="0.2">
      <c r="A14" s="38" t="s">
        <v>219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7">
        <v>0</v>
      </c>
    </row>
    <row r="15" spans="1:15" x14ac:dyDescent="0.2">
      <c r="A15" s="38" t="s">
        <v>220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7">
        <v>0</v>
      </c>
    </row>
    <row r="16" spans="1:15" x14ac:dyDescent="0.2">
      <c r="A16" s="38" t="s">
        <v>221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7">
        <v>0</v>
      </c>
    </row>
    <row r="17" spans="1:15" x14ac:dyDescent="0.2">
      <c r="A17" s="38" t="s">
        <v>222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7">
        <v>0</v>
      </c>
    </row>
    <row r="18" spans="1:15" x14ac:dyDescent="0.2">
      <c r="A18" s="38" t="s">
        <v>223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7">
        <v>0</v>
      </c>
    </row>
    <row r="19" spans="1:15" x14ac:dyDescent="0.2">
      <c r="A19" s="38" t="s">
        <v>224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7">
        <v>0</v>
      </c>
    </row>
    <row r="20" spans="1:15" x14ac:dyDescent="0.2">
      <c r="A20" s="38" t="s">
        <v>225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7">
        <v>0</v>
      </c>
    </row>
    <row r="21" spans="1:15" x14ac:dyDescent="0.2">
      <c r="A21" s="38" t="s">
        <v>226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7">
        <v>0</v>
      </c>
    </row>
    <row r="22" spans="1:15" x14ac:dyDescent="0.2">
      <c r="A22" s="38" t="s">
        <v>227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7">
        <v>0</v>
      </c>
    </row>
    <row r="23" spans="1:15" x14ac:dyDescent="0.2">
      <c r="A23" s="38" t="s">
        <v>228</v>
      </c>
      <c r="B23" s="52">
        <v>0</v>
      </c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7">
        <v>0</v>
      </c>
    </row>
    <row r="24" spans="1:15" x14ac:dyDescent="0.2">
      <c r="A24" s="38" t="s">
        <v>229</v>
      </c>
      <c r="B24" s="52">
        <v>0</v>
      </c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7">
        <v>0</v>
      </c>
    </row>
    <row r="25" spans="1:15" x14ac:dyDescent="0.2">
      <c r="A25" s="6" t="s">
        <v>230</v>
      </c>
      <c r="B25" s="7">
        <f>SUM(B26:B35)</f>
        <v>0</v>
      </c>
      <c r="C25" s="7">
        <f t="shared" ref="C25:O25" si="3">SUM(C26:C35)</f>
        <v>0</v>
      </c>
      <c r="D25" s="7">
        <f t="shared" si="3"/>
        <v>0</v>
      </c>
      <c r="E25" s="7">
        <f t="shared" si="3"/>
        <v>0</v>
      </c>
      <c r="F25" s="7">
        <f t="shared" si="3"/>
        <v>0</v>
      </c>
      <c r="G25" s="7">
        <f t="shared" si="3"/>
        <v>0</v>
      </c>
      <c r="H25" s="7">
        <f t="shared" si="3"/>
        <v>0</v>
      </c>
      <c r="I25" s="7">
        <f t="shared" si="3"/>
        <v>0</v>
      </c>
      <c r="J25" s="7">
        <f t="shared" si="3"/>
        <v>0</v>
      </c>
      <c r="K25" s="7">
        <f t="shared" si="3"/>
        <v>0</v>
      </c>
      <c r="L25" s="7">
        <f t="shared" si="3"/>
        <v>0</v>
      </c>
      <c r="M25" s="7">
        <f t="shared" si="3"/>
        <v>0</v>
      </c>
      <c r="N25" s="7">
        <f t="shared" si="3"/>
        <v>0</v>
      </c>
      <c r="O25" s="31">
        <f t="shared" si="3"/>
        <v>0</v>
      </c>
    </row>
    <row r="26" spans="1:15" x14ac:dyDescent="0.2">
      <c r="A26" s="38" t="s">
        <v>231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7">
        <v>0</v>
      </c>
    </row>
    <row r="27" spans="1:15" x14ac:dyDescent="0.2">
      <c r="A27" s="38" t="s">
        <v>232</v>
      </c>
      <c r="B27" s="52">
        <v>0</v>
      </c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7">
        <v>0</v>
      </c>
    </row>
    <row r="28" spans="1:15" x14ac:dyDescent="0.2">
      <c r="A28" s="38" t="s">
        <v>233</v>
      </c>
      <c r="B28" s="52">
        <v>0</v>
      </c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7">
        <v>0</v>
      </c>
    </row>
    <row r="29" spans="1:15" x14ac:dyDescent="0.2">
      <c r="A29" s="38" t="s">
        <v>234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7">
        <v>0</v>
      </c>
    </row>
    <row r="30" spans="1:15" x14ac:dyDescent="0.2">
      <c r="A30" s="38" t="s">
        <v>235</v>
      </c>
      <c r="B30" s="52">
        <v>0</v>
      </c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7">
        <v>0</v>
      </c>
    </row>
    <row r="31" spans="1:15" x14ac:dyDescent="0.2">
      <c r="A31" s="38" t="s">
        <v>236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7">
        <v>0</v>
      </c>
    </row>
    <row r="32" spans="1:15" x14ac:dyDescent="0.2">
      <c r="A32" s="38" t="s">
        <v>237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7">
        <v>0</v>
      </c>
    </row>
    <row r="33" spans="1:15" x14ac:dyDescent="0.2">
      <c r="A33" s="38" t="s">
        <v>238</v>
      </c>
      <c r="B33" s="52">
        <v>0</v>
      </c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7">
        <v>0</v>
      </c>
    </row>
    <row r="34" spans="1:15" x14ac:dyDescent="0.2">
      <c r="A34" s="38" t="s">
        <v>229</v>
      </c>
      <c r="B34" s="52">
        <v>0</v>
      </c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7">
        <v>0</v>
      </c>
    </row>
    <row r="35" spans="1:15" x14ac:dyDescent="0.2">
      <c r="A35" s="202" t="s">
        <v>239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7">
        <v>0</v>
      </c>
    </row>
    <row r="36" spans="1:15" x14ac:dyDescent="0.2">
      <c r="A36" s="6" t="s">
        <v>240</v>
      </c>
      <c r="B36" s="7">
        <f>SUM(B37:B40)</f>
        <v>0</v>
      </c>
      <c r="C36" s="7">
        <f t="shared" ref="C36:O36" si="4">SUM(C37:C40)</f>
        <v>0</v>
      </c>
      <c r="D36" s="7">
        <f t="shared" si="4"/>
        <v>0</v>
      </c>
      <c r="E36" s="7">
        <f t="shared" si="4"/>
        <v>0</v>
      </c>
      <c r="F36" s="7">
        <f t="shared" si="4"/>
        <v>0</v>
      </c>
      <c r="G36" s="7">
        <f t="shared" si="4"/>
        <v>0</v>
      </c>
      <c r="H36" s="7">
        <f t="shared" si="4"/>
        <v>0</v>
      </c>
      <c r="I36" s="7">
        <f t="shared" si="4"/>
        <v>0</v>
      </c>
      <c r="J36" s="7">
        <f t="shared" si="4"/>
        <v>0</v>
      </c>
      <c r="K36" s="7">
        <f t="shared" si="4"/>
        <v>0</v>
      </c>
      <c r="L36" s="7">
        <f t="shared" si="4"/>
        <v>0</v>
      </c>
      <c r="M36" s="7">
        <f t="shared" si="4"/>
        <v>0</v>
      </c>
      <c r="N36" s="7">
        <f t="shared" si="4"/>
        <v>0</v>
      </c>
      <c r="O36" s="31">
        <f t="shared" si="4"/>
        <v>0</v>
      </c>
    </row>
    <row r="37" spans="1:15" x14ac:dyDescent="0.2">
      <c r="A37" s="203" t="s">
        <v>241</v>
      </c>
      <c r="B37" s="52">
        <v>0</v>
      </c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7">
        <v>0</v>
      </c>
    </row>
    <row r="38" spans="1:15" x14ac:dyDescent="0.2">
      <c r="A38" s="203" t="s">
        <v>242</v>
      </c>
      <c r="B38" s="52">
        <v>0</v>
      </c>
      <c r="C38" s="52">
        <v>0</v>
      </c>
      <c r="D38" s="52">
        <v>0</v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0</v>
      </c>
      <c r="M38" s="52">
        <v>0</v>
      </c>
      <c r="N38" s="52">
        <v>0</v>
      </c>
      <c r="O38" s="57">
        <v>0</v>
      </c>
    </row>
    <row r="39" spans="1:15" x14ac:dyDescent="0.2">
      <c r="A39" s="203" t="s">
        <v>243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7"/>
    </row>
    <row r="40" spans="1:15" x14ac:dyDescent="0.2">
      <c r="A40" s="203" t="s">
        <v>330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7">
        <v>0</v>
      </c>
    </row>
    <row r="41" spans="1:15" x14ac:dyDescent="0.2">
      <c r="A41" s="8" t="s">
        <v>244</v>
      </c>
      <c r="B41" s="53">
        <v>0</v>
      </c>
      <c r="C41" s="53">
        <v>0</v>
      </c>
      <c r="D41" s="53">
        <v>0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65">
        <v>0</v>
      </c>
    </row>
    <row r="42" spans="1:15" ht="28.5" customHeight="1" thickBot="1" x14ac:dyDescent="0.25">
      <c r="A42" s="9" t="s">
        <v>245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6">
        <v>0</v>
      </c>
    </row>
    <row r="43" spans="1:15" ht="13.5" thickBot="1" x14ac:dyDescent="0.25">
      <c r="A43" s="25" t="s">
        <v>246</v>
      </c>
      <c r="B43" s="26">
        <f>+B44+B50+B64+B80+B81+B82</f>
        <v>0</v>
      </c>
      <c r="C43" s="26">
        <f t="shared" ref="C43:O43" si="5">+C44+C50+C64+C80+C81+C82</f>
        <v>0</v>
      </c>
      <c r="D43" s="26">
        <f t="shared" si="5"/>
        <v>0</v>
      </c>
      <c r="E43" s="26">
        <f t="shared" si="5"/>
        <v>0</v>
      </c>
      <c r="F43" s="26">
        <f t="shared" si="5"/>
        <v>0</v>
      </c>
      <c r="G43" s="26">
        <f t="shared" si="5"/>
        <v>0</v>
      </c>
      <c r="H43" s="26">
        <f t="shared" si="5"/>
        <v>0</v>
      </c>
      <c r="I43" s="26">
        <f t="shared" si="5"/>
        <v>0</v>
      </c>
      <c r="J43" s="26">
        <f t="shared" si="5"/>
        <v>0</v>
      </c>
      <c r="K43" s="26">
        <f t="shared" si="5"/>
        <v>0</v>
      </c>
      <c r="L43" s="26">
        <f t="shared" si="5"/>
        <v>0</v>
      </c>
      <c r="M43" s="26">
        <f t="shared" si="5"/>
        <v>0</v>
      </c>
      <c r="N43" s="26">
        <f t="shared" si="5"/>
        <v>0</v>
      </c>
      <c r="O43" s="32">
        <f t="shared" si="5"/>
        <v>0</v>
      </c>
    </row>
    <row r="44" spans="1:15" x14ac:dyDescent="0.2">
      <c r="A44" s="10" t="s">
        <v>353</v>
      </c>
      <c r="B44" s="11">
        <f>SUM(B45:B49)</f>
        <v>0</v>
      </c>
      <c r="C44" s="11">
        <f t="shared" ref="C44:O44" si="6">SUM(C45:C49)</f>
        <v>0</v>
      </c>
      <c r="D44" s="11">
        <f t="shared" si="6"/>
        <v>0</v>
      </c>
      <c r="E44" s="11">
        <f t="shared" si="6"/>
        <v>0</v>
      </c>
      <c r="F44" s="11">
        <f t="shared" si="6"/>
        <v>0</v>
      </c>
      <c r="G44" s="11">
        <f t="shared" si="6"/>
        <v>0</v>
      </c>
      <c r="H44" s="11">
        <f t="shared" si="6"/>
        <v>0</v>
      </c>
      <c r="I44" s="11">
        <f t="shared" si="6"/>
        <v>0</v>
      </c>
      <c r="J44" s="11">
        <f t="shared" si="6"/>
        <v>0</v>
      </c>
      <c r="K44" s="11">
        <f t="shared" si="6"/>
        <v>0</v>
      </c>
      <c r="L44" s="11">
        <f t="shared" si="6"/>
        <v>0</v>
      </c>
      <c r="M44" s="11">
        <f t="shared" si="6"/>
        <v>0</v>
      </c>
      <c r="N44" s="11">
        <f t="shared" si="6"/>
        <v>0</v>
      </c>
      <c r="O44" s="33">
        <f t="shared" si="6"/>
        <v>0</v>
      </c>
    </row>
    <row r="45" spans="1:15" x14ac:dyDescent="0.2">
      <c r="A45" s="38" t="s">
        <v>247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7">
        <v>0</v>
      </c>
    </row>
    <row r="46" spans="1:15" x14ac:dyDescent="0.2">
      <c r="A46" s="38" t="s">
        <v>248</v>
      </c>
      <c r="B46" s="52">
        <v>0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7">
        <v>0</v>
      </c>
    </row>
    <row r="47" spans="1:15" x14ac:dyDescent="0.2">
      <c r="A47" s="38" t="s">
        <v>249</v>
      </c>
      <c r="B47" s="52">
        <v>0</v>
      </c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7">
        <v>0</v>
      </c>
    </row>
    <row r="48" spans="1:15" x14ac:dyDescent="0.2">
      <c r="A48" s="38" t="s">
        <v>23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7">
        <v>0</v>
      </c>
    </row>
    <row r="49" spans="1:15" x14ac:dyDescent="0.2">
      <c r="A49" s="38" t="s">
        <v>250</v>
      </c>
      <c r="B49" s="52">
        <v>0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7">
        <v>0</v>
      </c>
    </row>
    <row r="50" spans="1:15" x14ac:dyDescent="0.2">
      <c r="A50" s="10" t="s">
        <v>251</v>
      </c>
      <c r="B50" s="11">
        <f>SUM(B51:B63)</f>
        <v>0</v>
      </c>
      <c r="C50" s="11">
        <f t="shared" ref="C50:O50" si="7">SUM(C51:C63)</f>
        <v>0</v>
      </c>
      <c r="D50" s="11">
        <f t="shared" si="7"/>
        <v>0</v>
      </c>
      <c r="E50" s="11">
        <f t="shared" si="7"/>
        <v>0</v>
      </c>
      <c r="F50" s="11">
        <f t="shared" si="7"/>
        <v>0</v>
      </c>
      <c r="G50" s="11">
        <f t="shared" si="7"/>
        <v>0</v>
      </c>
      <c r="H50" s="11">
        <f t="shared" si="7"/>
        <v>0</v>
      </c>
      <c r="I50" s="11">
        <f t="shared" si="7"/>
        <v>0</v>
      </c>
      <c r="J50" s="11">
        <f t="shared" si="7"/>
        <v>0</v>
      </c>
      <c r="K50" s="11">
        <f t="shared" si="7"/>
        <v>0</v>
      </c>
      <c r="L50" s="11">
        <f t="shared" si="7"/>
        <v>0</v>
      </c>
      <c r="M50" s="11">
        <f t="shared" si="7"/>
        <v>0</v>
      </c>
      <c r="N50" s="11">
        <f t="shared" si="7"/>
        <v>0</v>
      </c>
      <c r="O50" s="33">
        <f t="shared" si="7"/>
        <v>0</v>
      </c>
    </row>
    <row r="51" spans="1:15" x14ac:dyDescent="0.2">
      <c r="A51" s="38" t="s">
        <v>252</v>
      </c>
      <c r="B51" s="58">
        <v>0</v>
      </c>
      <c r="C51" s="58">
        <v>0</v>
      </c>
      <c r="D51" s="58">
        <v>0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9">
        <v>0</v>
      </c>
    </row>
    <row r="52" spans="1:15" x14ac:dyDescent="0.2">
      <c r="A52" s="38" t="s">
        <v>253</v>
      </c>
      <c r="B52" s="58">
        <v>0</v>
      </c>
      <c r="C52" s="58">
        <v>0</v>
      </c>
      <c r="D52" s="58">
        <v>0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9">
        <v>0</v>
      </c>
    </row>
    <row r="53" spans="1:15" x14ac:dyDescent="0.2">
      <c r="A53" s="38" t="s">
        <v>219</v>
      </c>
      <c r="B53" s="58">
        <v>0</v>
      </c>
      <c r="C53" s="58">
        <v>0</v>
      </c>
      <c r="D53" s="58">
        <v>0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9">
        <v>0</v>
      </c>
    </row>
    <row r="54" spans="1:15" x14ac:dyDescent="0.2">
      <c r="A54" s="38" t="s">
        <v>220</v>
      </c>
      <c r="B54" s="58">
        <v>0</v>
      </c>
      <c r="C54" s="58">
        <v>0</v>
      </c>
      <c r="D54" s="58">
        <v>0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9">
        <v>0</v>
      </c>
    </row>
    <row r="55" spans="1:15" x14ac:dyDescent="0.2">
      <c r="A55" s="38" t="s">
        <v>221</v>
      </c>
      <c r="B55" s="58">
        <v>0</v>
      </c>
      <c r="C55" s="58">
        <v>0</v>
      </c>
      <c r="D55" s="58">
        <v>0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9">
        <v>0</v>
      </c>
    </row>
    <row r="56" spans="1:15" x14ac:dyDescent="0.2">
      <c r="A56" s="38" t="s">
        <v>222</v>
      </c>
      <c r="B56" s="58">
        <v>0</v>
      </c>
      <c r="C56" s="58">
        <v>0</v>
      </c>
      <c r="D56" s="58">
        <v>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9">
        <v>0</v>
      </c>
    </row>
    <row r="57" spans="1:15" x14ac:dyDescent="0.2">
      <c r="A57" s="38" t="s">
        <v>223</v>
      </c>
      <c r="B57" s="58">
        <v>0</v>
      </c>
      <c r="C57" s="58">
        <v>0</v>
      </c>
      <c r="D57" s="58">
        <v>0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9">
        <v>0</v>
      </c>
    </row>
    <row r="58" spans="1:15" x14ac:dyDescent="0.2">
      <c r="A58" s="38" t="s">
        <v>224</v>
      </c>
      <c r="B58" s="58">
        <v>0</v>
      </c>
      <c r="C58" s="58">
        <v>0</v>
      </c>
      <c r="D58" s="58">
        <v>0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9">
        <v>0</v>
      </c>
    </row>
    <row r="59" spans="1:15" x14ac:dyDescent="0.2">
      <c r="A59" s="38" t="s">
        <v>225</v>
      </c>
      <c r="B59" s="58">
        <v>0</v>
      </c>
      <c r="C59" s="58">
        <v>0</v>
      </c>
      <c r="D59" s="58">
        <v>0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9">
        <v>0</v>
      </c>
    </row>
    <row r="60" spans="1:15" x14ac:dyDescent="0.2">
      <c r="A60" s="38" t="s">
        <v>226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9">
        <v>0</v>
      </c>
    </row>
    <row r="61" spans="1:15" x14ac:dyDescent="0.2">
      <c r="A61" s="38" t="s">
        <v>227</v>
      </c>
      <c r="B61" s="58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9">
        <v>0</v>
      </c>
    </row>
    <row r="62" spans="1:15" x14ac:dyDescent="0.2">
      <c r="A62" s="38" t="s">
        <v>228</v>
      </c>
      <c r="B62" s="58">
        <v>0</v>
      </c>
      <c r="C62" s="58">
        <v>0</v>
      </c>
      <c r="D62" s="58">
        <v>0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9">
        <v>0</v>
      </c>
    </row>
    <row r="63" spans="1:15" x14ac:dyDescent="0.2">
      <c r="A63" s="38" t="s">
        <v>229</v>
      </c>
      <c r="B63" s="58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9">
        <v>0</v>
      </c>
    </row>
    <row r="64" spans="1:15" x14ac:dyDescent="0.2">
      <c r="A64" s="10" t="s">
        <v>254</v>
      </c>
      <c r="B64" s="64">
        <f>SUM(B65:B74)</f>
        <v>0</v>
      </c>
      <c r="C64" s="64">
        <f t="shared" ref="C64:O64" si="8">SUM(C65:C74)</f>
        <v>0</v>
      </c>
      <c r="D64" s="64">
        <f t="shared" si="8"/>
        <v>0</v>
      </c>
      <c r="E64" s="64">
        <f t="shared" si="8"/>
        <v>0</v>
      </c>
      <c r="F64" s="64">
        <f t="shared" si="8"/>
        <v>0</v>
      </c>
      <c r="G64" s="64">
        <f t="shared" si="8"/>
        <v>0</v>
      </c>
      <c r="H64" s="64">
        <f t="shared" si="8"/>
        <v>0</v>
      </c>
      <c r="I64" s="64">
        <f t="shared" si="8"/>
        <v>0</v>
      </c>
      <c r="J64" s="64">
        <f t="shared" si="8"/>
        <v>0</v>
      </c>
      <c r="K64" s="64">
        <f t="shared" si="8"/>
        <v>0</v>
      </c>
      <c r="L64" s="64">
        <f t="shared" si="8"/>
        <v>0</v>
      </c>
      <c r="M64" s="64">
        <f t="shared" si="8"/>
        <v>0</v>
      </c>
      <c r="N64" s="64">
        <f t="shared" si="8"/>
        <v>0</v>
      </c>
      <c r="O64" s="66">
        <f t="shared" si="8"/>
        <v>0</v>
      </c>
    </row>
    <row r="65" spans="1:15" x14ac:dyDescent="0.2">
      <c r="A65" s="38" t="s">
        <v>231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9">
        <v>0</v>
      </c>
    </row>
    <row r="66" spans="1:15" x14ac:dyDescent="0.2">
      <c r="A66" s="38" t="s">
        <v>255</v>
      </c>
      <c r="B66" s="58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9">
        <v>0</v>
      </c>
    </row>
    <row r="67" spans="1:15" x14ac:dyDescent="0.2">
      <c r="A67" s="38" t="s">
        <v>233</v>
      </c>
      <c r="B67" s="58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9">
        <v>0</v>
      </c>
    </row>
    <row r="68" spans="1:15" x14ac:dyDescent="0.2">
      <c r="A68" s="38" t="s">
        <v>234</v>
      </c>
      <c r="B68" s="58">
        <v>0</v>
      </c>
      <c r="C68" s="58">
        <v>0</v>
      </c>
      <c r="D68" s="58">
        <v>0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9">
        <v>0</v>
      </c>
    </row>
    <row r="69" spans="1:15" x14ac:dyDescent="0.2">
      <c r="A69" s="38" t="s">
        <v>235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9">
        <v>0</v>
      </c>
    </row>
    <row r="70" spans="1:15" x14ac:dyDescent="0.2">
      <c r="A70" s="38" t="s">
        <v>236</v>
      </c>
      <c r="B70" s="58">
        <v>0</v>
      </c>
      <c r="C70" s="58">
        <v>0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9">
        <v>0</v>
      </c>
    </row>
    <row r="71" spans="1:15" x14ac:dyDescent="0.2">
      <c r="A71" s="38" t="s">
        <v>237</v>
      </c>
      <c r="B71" s="58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9">
        <v>0</v>
      </c>
    </row>
    <row r="72" spans="1:15" x14ac:dyDescent="0.2">
      <c r="A72" s="38" t="s">
        <v>238</v>
      </c>
      <c r="B72" s="58">
        <v>0</v>
      </c>
      <c r="C72" s="58">
        <v>0</v>
      </c>
      <c r="D72" s="58">
        <v>0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9">
        <v>0</v>
      </c>
    </row>
    <row r="73" spans="1:15" x14ac:dyDescent="0.2">
      <c r="A73" s="38" t="s">
        <v>229</v>
      </c>
      <c r="B73" s="58">
        <v>0</v>
      </c>
      <c r="C73" s="58">
        <v>0</v>
      </c>
      <c r="D73" s="58">
        <v>0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9">
        <v>0</v>
      </c>
    </row>
    <row r="74" spans="1:15" x14ac:dyDescent="0.2">
      <c r="A74" s="38" t="s">
        <v>256</v>
      </c>
      <c r="B74" s="58">
        <v>0</v>
      </c>
      <c r="C74" s="58">
        <v>0</v>
      </c>
      <c r="D74" s="58">
        <v>0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9">
        <v>0</v>
      </c>
    </row>
    <row r="75" spans="1:15" x14ac:dyDescent="0.2">
      <c r="A75" s="10" t="s">
        <v>332</v>
      </c>
      <c r="B75" s="64">
        <f>SUM(B76:B79)</f>
        <v>0</v>
      </c>
      <c r="C75" s="64">
        <f t="shared" ref="C75:O75" si="9">SUM(C76:C79)</f>
        <v>0</v>
      </c>
      <c r="D75" s="64">
        <f t="shared" si="9"/>
        <v>0</v>
      </c>
      <c r="E75" s="64">
        <f t="shared" si="9"/>
        <v>0</v>
      </c>
      <c r="F75" s="64">
        <f t="shared" si="9"/>
        <v>0</v>
      </c>
      <c r="G75" s="64">
        <f t="shared" si="9"/>
        <v>0</v>
      </c>
      <c r="H75" s="64">
        <f t="shared" si="9"/>
        <v>0</v>
      </c>
      <c r="I75" s="64">
        <f t="shared" si="9"/>
        <v>0</v>
      </c>
      <c r="J75" s="64">
        <f t="shared" si="9"/>
        <v>0</v>
      </c>
      <c r="K75" s="64">
        <f t="shared" si="9"/>
        <v>0</v>
      </c>
      <c r="L75" s="64">
        <f t="shared" si="9"/>
        <v>0</v>
      </c>
      <c r="M75" s="64">
        <f t="shared" si="9"/>
        <v>0</v>
      </c>
      <c r="N75" s="64">
        <f t="shared" si="9"/>
        <v>0</v>
      </c>
      <c r="O75" s="66">
        <f t="shared" si="9"/>
        <v>0</v>
      </c>
    </row>
    <row r="76" spans="1:15" x14ac:dyDescent="0.2">
      <c r="A76" s="38" t="s">
        <v>331</v>
      </c>
      <c r="B76" s="58">
        <v>0</v>
      </c>
      <c r="C76" s="58">
        <v>0</v>
      </c>
      <c r="D76" s="58">
        <v>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9">
        <v>0</v>
      </c>
    </row>
    <row r="77" spans="1:15" x14ac:dyDescent="0.2">
      <c r="A77" s="38" t="s">
        <v>187</v>
      </c>
      <c r="B77" s="58">
        <v>0</v>
      </c>
      <c r="C77" s="58">
        <v>0</v>
      </c>
      <c r="D77" s="58">
        <v>0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9">
        <v>0</v>
      </c>
    </row>
    <row r="78" spans="1:15" x14ac:dyDescent="0.2">
      <c r="A78" s="38" t="s">
        <v>257</v>
      </c>
      <c r="B78" s="58">
        <v>0</v>
      </c>
      <c r="C78" s="58">
        <v>0</v>
      </c>
      <c r="D78" s="58">
        <v>0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9">
        <v>0</v>
      </c>
    </row>
    <row r="79" spans="1:15" x14ac:dyDescent="0.2">
      <c r="A79" s="38" t="s">
        <v>241</v>
      </c>
      <c r="B79" s="60">
        <v>0</v>
      </c>
      <c r="C79" s="60">
        <v>0</v>
      </c>
      <c r="D79" s="60">
        <v>0</v>
      </c>
      <c r="E79" s="60">
        <v>0</v>
      </c>
      <c r="F79" s="60">
        <v>0</v>
      </c>
      <c r="G79" s="60">
        <v>0</v>
      </c>
      <c r="H79" s="60">
        <v>0</v>
      </c>
      <c r="I79" s="60">
        <v>0</v>
      </c>
      <c r="J79" s="60">
        <v>0</v>
      </c>
      <c r="K79" s="60">
        <v>0</v>
      </c>
      <c r="L79" s="60">
        <v>0</v>
      </c>
      <c r="M79" s="60">
        <v>0</v>
      </c>
      <c r="N79" s="60">
        <v>0</v>
      </c>
      <c r="O79" s="67">
        <v>0</v>
      </c>
    </row>
    <row r="80" spans="1:15" x14ac:dyDescent="0.2">
      <c r="A80" s="10" t="s">
        <v>258</v>
      </c>
      <c r="B80" s="61">
        <v>0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54">
        <v>0</v>
      </c>
    </row>
    <row r="81" spans="1:15" x14ac:dyDescent="0.2">
      <c r="A81" s="10" t="s">
        <v>259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6">
        <v>0</v>
      </c>
    </row>
    <row r="82" spans="1:15" ht="26.25" thickBot="1" x14ac:dyDescent="0.25">
      <c r="A82" s="34" t="s">
        <v>260</v>
      </c>
      <c r="B82" s="62">
        <v>0</v>
      </c>
      <c r="C82" s="62">
        <v>0</v>
      </c>
      <c r="D82" s="62">
        <v>0</v>
      </c>
      <c r="E82" s="62">
        <v>0</v>
      </c>
      <c r="F82" s="62">
        <v>0</v>
      </c>
      <c r="G82" s="62">
        <v>0</v>
      </c>
      <c r="H82" s="62">
        <v>0</v>
      </c>
      <c r="I82" s="62">
        <v>0</v>
      </c>
      <c r="J82" s="62">
        <v>0</v>
      </c>
      <c r="K82" s="62">
        <v>0</v>
      </c>
      <c r="L82" s="62">
        <v>0</v>
      </c>
      <c r="M82" s="62">
        <v>0</v>
      </c>
      <c r="N82" s="62">
        <v>0</v>
      </c>
      <c r="O82" s="63">
        <v>0</v>
      </c>
    </row>
    <row r="83" spans="1:15" ht="13.5" thickBot="1" x14ac:dyDescent="0.25">
      <c r="A83" s="35" t="s">
        <v>261</v>
      </c>
      <c r="B83" s="36">
        <f>+B4-B43</f>
        <v>0</v>
      </c>
      <c r="C83" s="36">
        <f t="shared" ref="C83:O83" si="10">+C4-C43</f>
        <v>0</v>
      </c>
      <c r="D83" s="36">
        <f t="shared" si="10"/>
        <v>0</v>
      </c>
      <c r="E83" s="36">
        <f t="shared" si="10"/>
        <v>0</v>
      </c>
      <c r="F83" s="36">
        <f t="shared" si="10"/>
        <v>0</v>
      </c>
      <c r="G83" s="36">
        <f t="shared" si="10"/>
        <v>0</v>
      </c>
      <c r="H83" s="36">
        <f t="shared" si="10"/>
        <v>0</v>
      </c>
      <c r="I83" s="36">
        <f t="shared" si="10"/>
        <v>0</v>
      </c>
      <c r="J83" s="36">
        <f t="shared" si="10"/>
        <v>0</v>
      </c>
      <c r="K83" s="36">
        <f t="shared" si="10"/>
        <v>0</v>
      </c>
      <c r="L83" s="36">
        <f t="shared" si="10"/>
        <v>0</v>
      </c>
      <c r="M83" s="36">
        <f t="shared" si="10"/>
        <v>0</v>
      </c>
      <c r="N83" s="36">
        <f t="shared" si="10"/>
        <v>0</v>
      </c>
      <c r="O83" s="37">
        <f t="shared" si="10"/>
        <v>0</v>
      </c>
    </row>
    <row r="84" spans="1:15" x14ac:dyDescent="0.2">
      <c r="A84" s="39" t="s">
        <v>262</v>
      </c>
      <c r="B84" s="44">
        <v>0</v>
      </c>
      <c r="C84" s="45">
        <v>0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6">
        <v>0</v>
      </c>
    </row>
    <row r="85" spans="1:15" x14ac:dyDescent="0.2">
      <c r="A85" s="40" t="s">
        <v>263</v>
      </c>
      <c r="B85" s="47">
        <v>0</v>
      </c>
      <c r="C85" s="48">
        <v>0</v>
      </c>
      <c r="D85" s="48">
        <v>0</v>
      </c>
      <c r="E85" s="48">
        <v>0</v>
      </c>
      <c r="F85" s="48">
        <v>0</v>
      </c>
      <c r="G85" s="48">
        <v>0</v>
      </c>
      <c r="H85" s="48">
        <v>0</v>
      </c>
      <c r="I85" s="48">
        <v>0</v>
      </c>
      <c r="J85" s="48">
        <v>0</v>
      </c>
      <c r="K85" s="48">
        <v>0</v>
      </c>
      <c r="L85" s="48">
        <v>0</v>
      </c>
      <c r="M85" s="48">
        <v>0</v>
      </c>
      <c r="N85" s="48">
        <v>0</v>
      </c>
      <c r="O85" s="45">
        <v>0</v>
      </c>
    </row>
    <row r="86" spans="1:15" ht="13.5" thickBot="1" x14ac:dyDescent="0.25">
      <c r="A86" s="41" t="s">
        <v>264</v>
      </c>
      <c r="B86" s="49">
        <v>0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51">
        <v>0</v>
      </c>
    </row>
    <row r="87" spans="1:15" ht="13.5" thickBot="1" x14ac:dyDescent="0.25">
      <c r="A87" s="12"/>
      <c r="B87" s="13"/>
    </row>
    <row r="88" spans="1:15" ht="15" customHeight="1" x14ac:dyDescent="0.2">
      <c r="A88" s="42" t="s">
        <v>265</v>
      </c>
      <c r="B88" s="275"/>
      <c r="C88" s="276"/>
      <c r="D88" s="27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1:15" ht="15.75" customHeight="1" thickBot="1" x14ac:dyDescent="0.25">
      <c r="A89" s="43" t="s">
        <v>266</v>
      </c>
      <c r="B89" s="278"/>
      <c r="C89" s="279"/>
      <c r="D89" s="280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1" spans="1:15" x14ac:dyDescent="0.2">
      <c r="A91" s="28" t="s">
        <v>267</v>
      </c>
    </row>
    <row r="92" spans="1:15" ht="15" customHeight="1" x14ac:dyDescent="0.2">
      <c r="A92" s="274" t="s">
        <v>287</v>
      </c>
      <c r="C92" s="16"/>
    </row>
    <row r="93" spans="1:15" x14ac:dyDescent="0.2">
      <c r="A93" s="274"/>
    </row>
    <row r="94" spans="1:15" x14ac:dyDescent="0.2">
      <c r="A94" s="274"/>
    </row>
    <row r="95" spans="1:15" x14ac:dyDescent="0.2">
      <c r="A95" s="274"/>
    </row>
  </sheetData>
  <mergeCells count="6">
    <mergeCell ref="A92:A95"/>
    <mergeCell ref="B88:D88"/>
    <mergeCell ref="B89:D89"/>
    <mergeCell ref="A1:A2"/>
    <mergeCell ref="B1:B2"/>
    <mergeCell ref="C1:O1"/>
  </mergeCells>
  <pageMargins left="0.7" right="0.7" top="0.75" bottom="0.75" header="0.3" footer="0.3"/>
  <pageSetup scale="44" orientation="landscape" r:id="rId1"/>
  <rowBreaks count="1" manualBreakCount="1"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10</vt:i4>
      </vt:variant>
    </vt:vector>
  </HeadingPairs>
  <TitlesOfParts>
    <vt:vector size="25" baseType="lpstr">
      <vt:lpstr>Listas</vt:lpstr>
      <vt:lpstr>Recursos aprobados</vt:lpstr>
      <vt:lpstr>FORM RESUMEN </vt:lpstr>
      <vt:lpstr>FORM 1 GASTO AO&amp;M-C SPEE</vt:lpstr>
      <vt:lpstr>FORM 2 GASTO AO&amp;M-C SPEE</vt:lpstr>
      <vt:lpstr>FORM 3 ANUALIDAD ACTIVO SPEE</vt:lpstr>
      <vt:lpstr>FORM 4 EXPANSION SPEE</vt:lpstr>
      <vt:lpstr>FORM 5 GASTO AO&amp;M SAPG</vt:lpstr>
      <vt:lpstr>FORM 6 GASTO AO&amp;M SAPG</vt:lpstr>
      <vt:lpstr>FORM 7 ANUALIDAD ACTIVO SAPG</vt:lpstr>
      <vt:lpstr>FORM 8 EXPANSION SAPG</vt:lpstr>
      <vt:lpstr>FORM 9 OTROS RECURSOS</vt:lpstr>
      <vt:lpstr>FORM INGRESOS</vt:lpstr>
      <vt:lpstr>FORM EGRESOS</vt:lpstr>
      <vt:lpstr>FLUJO DE CAJA</vt:lpstr>
      <vt:lpstr>'FORM 1 GASTO AO&amp;M-C SPEE'!Área_de_impresión</vt:lpstr>
      <vt:lpstr>'FORM 2 GASTO AO&amp;M-C SPEE'!Área_de_impresión</vt:lpstr>
      <vt:lpstr>'FORM 3 ANUALIDAD ACTIVO SPEE'!Área_de_impresión</vt:lpstr>
      <vt:lpstr>'FORM 4 EXPANSION SPEE'!Área_de_impresión</vt:lpstr>
      <vt:lpstr>'FORM 5 GASTO AO&amp;M SAPG'!Área_de_impresión</vt:lpstr>
      <vt:lpstr>'FORM 6 GASTO AO&amp;M SAPG'!Área_de_impresión</vt:lpstr>
      <vt:lpstr>'FORM 7 ANUALIDAD ACTIVO SAPG'!Área_de_impresión</vt:lpstr>
      <vt:lpstr>'FORM 8 EXPANSION SAPG'!Área_de_impresión</vt:lpstr>
      <vt:lpstr>'FORM 9 OTROS RECURSOS'!Área_de_impresión</vt:lpstr>
      <vt:lpstr>'FORM RESUMEN 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Comision de Servicios</dc:creator>
  <cp:lastModifiedBy>Alexandra Andrea Falcon Aguayo</cp:lastModifiedBy>
  <cp:revision/>
  <dcterms:created xsi:type="dcterms:W3CDTF">2012-08-28T02:37:15Z</dcterms:created>
  <dcterms:modified xsi:type="dcterms:W3CDTF">2026-08-12T18:15:42Z</dcterms:modified>
</cp:coreProperties>
</file>